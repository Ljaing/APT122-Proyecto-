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DpXo1afozJPI61ipQssH4I8SUXYAD4E3mzBhl5DoJ6g="/>
    </ext>
  </extLst>
</workbook>
</file>

<file path=xl/sharedStrings.xml><?xml version="1.0" encoding="utf-8"?>
<sst xmlns="http://schemas.openxmlformats.org/spreadsheetml/2006/main" count="257" uniqueCount="128">
  <si>
    <t>Metodologías ágiles: Lista de tareas de la iteración</t>
  </si>
  <si>
    <t>(Sprint Backlog)</t>
  </si>
  <si>
    <t>Elaborado por: KLJ Solutions</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</si>
  <si>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</si>
  <si>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</si>
  <si>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</si>
  <si>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</si>
  <si>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</si>
  <si>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</si>
  <si>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</si>
  <si>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</si>
  <si>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</si>
  <si>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</si>
  <si>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</si>
  <si>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</si>
  <si>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</si>
  <si>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</si>
  <si>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</si>
  <si>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</si>
  <si>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</si>
  <si>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</si>
  <si>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</si>
  <si>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</si>
  <si>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</si>
  <si>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</si>
  <si>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</si>
  <si>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</si>
  <si>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</si>
  <si>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</si>
  <si>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</si>
  <si>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</si>
  <si>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</si>
  <si>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APT2025-AML-001</t>
  </si>
  <si>
    <t>Como un miebro del equipo, necesito realizar la planificación y levantamiento con el stakeholder con la finalidad de tener claros los requisitos del proyecto.</t>
  </si>
  <si>
    <t>Planificación y levantamiento con stakeholder</t>
  </si>
  <si>
    <t>Documentacion de Requisitos y elaboración del acta</t>
  </si>
  <si>
    <t>Jael Inestroza</t>
  </si>
  <si>
    <t>Completada</t>
  </si>
  <si>
    <t xml:space="preserve">Validación interna y ajustes según retroalimentación inicial </t>
  </si>
  <si>
    <t xml:space="preserve">Presentación </t>
  </si>
  <si>
    <t>KLJ Solutions</t>
  </si>
  <si>
    <t>APT2025-AMl-002</t>
  </si>
  <si>
    <t>Como equipo de desarrollo, necesitamos diseñar la interfaz de usuario y definir la arquitectura del sistema con el fin de asegurar una base visual y técnica sólida para las fases de desarrollo posteriores.</t>
  </si>
  <si>
    <t>Diseño UX/UI y arquitectura</t>
  </si>
  <si>
    <t>Diseñar wireframes de la aplicación (vistas principales: Login, Inicio, Agenda, Beneficios)</t>
  </si>
  <si>
    <t>Crear prototipo navegable en Figma</t>
  </si>
  <si>
    <t>Definir arquitectura del sistema (frontend-backend-BD)</t>
  </si>
  <si>
    <t xml:space="preserve">Luis San Martin </t>
  </si>
  <si>
    <t>Documentar estructura del proyecto y repositorio GitHub</t>
  </si>
  <si>
    <t>Validar diseño y arquitectura con stakeholder (presentación de avance)</t>
  </si>
  <si>
    <t>APT2025-AML-003</t>
  </si>
  <si>
    <t>Como usuario adulto mayor, necesito poder registrarme e iniciar sesión para acceder a mis beneficios, actividades y alertas dentro de la aplicación.</t>
  </si>
  <si>
    <t>Registro e Inicio de Sesión</t>
  </si>
  <si>
    <t>Diseñar formulario de registro (campos, validaciones visuales)</t>
  </si>
  <si>
    <t>Camila Rojas</t>
  </si>
  <si>
    <t xml:space="preserve">Completada </t>
  </si>
  <si>
    <t>Implementar registro en frontend y conexión al backend</t>
  </si>
  <si>
    <t>Desarrollar API de autenticación y validación de usuario</t>
  </si>
  <si>
    <t xml:space="preserve">Luis San Martín </t>
  </si>
  <si>
    <t>Integrar seguridad básica (hash de contraseñas y validación de token)</t>
  </si>
  <si>
    <t>Documentar flujo de login y registro en manual técnico</t>
  </si>
  <si>
    <t>Pruebas unitarias de registro y login (QA funcional)</t>
  </si>
  <si>
    <t>APT2025-AML-004</t>
  </si>
  <si>
    <t>Como adulto mayor, necesito acceder a una agenda de actividades comunitarias para conocer los próximos talleres y operativos disponibles en mi junta o club.</t>
  </si>
  <si>
    <t>Agenda y Actividades</t>
  </si>
  <si>
    <t>Diseñar interfaz de los taller y actividades disponibles</t>
  </si>
  <si>
    <t>Desarrollar CRUD de actividades en backend (crear, leer, actualizar, eliminar)</t>
  </si>
  <si>
    <t>Integrar módulo de suscripción en frontend y conectar con API</t>
  </si>
  <si>
    <t>Pruebas de usabilidad y retroalimentación de usuarios</t>
  </si>
  <si>
    <t>Documentación del módulo y registro de pruebas</t>
  </si>
  <si>
    <t xml:space="preserve">APT2025-AML-005 </t>
  </si>
  <si>
    <t>Como usuario del Club del Adulto Mayor, necesito visualizar un listado de beneficios y convenios locales para aprovechar descuentos en servicios y comercios asociados.</t>
  </si>
  <si>
    <t>Beneficios y Convenios</t>
  </si>
  <si>
    <t>Diseñar vista del catálogo de beneficios (interfaz web/app)</t>
  </si>
  <si>
    <t>Implementar CRUD de convenios en backend (creación y actualización)</t>
  </si>
  <si>
    <t>Luis San Martin</t>
  </si>
  <si>
    <t>Integrar módulo de beneficios al frontend con conexión a BD</t>
  </si>
  <si>
    <t>Generar visualización de descuentos (filtros y búsqueda)</t>
  </si>
  <si>
    <t>Generar la creación de QR por cada beneficio</t>
  </si>
  <si>
    <t>Generar el lector y validador de QR</t>
  </si>
  <si>
    <t>Documentar estructura del módulo y endpoints API</t>
  </si>
  <si>
    <t>Validación de interfaz y accesibilidad con stakeholder</t>
  </si>
  <si>
    <t>APT2025-AML-006</t>
  </si>
  <si>
    <t>Como usuario, necesito reportar emergencias o problemas de seguridad de forma rápida, para que la directiva o los servicios de emergencia reciban la alerta y puedan actuar de inmediato.</t>
  </si>
  <si>
    <t>Alertas y Emergencias (Integración SoSafe)</t>
  </si>
  <si>
    <t>Parcial</t>
  </si>
  <si>
    <t>Diseñar interfaz del módulo de alertas (botones e íconos)</t>
  </si>
  <si>
    <t>Desarrollar backend para registro de alertas (API REST)</t>
  </si>
  <si>
    <t>Simular conexión con SoSafe (API simulada + email de prueba)</t>
  </si>
  <si>
    <t>Implementar almacenamiento de alertas en la base de datos</t>
  </si>
  <si>
    <t>Pruebas internas del flujo de alertas (envío/recepción)</t>
  </si>
  <si>
    <t>Documentación técnica del módulo de alertas y simulación API</t>
  </si>
  <si>
    <t>APT2025-AML-007</t>
  </si>
  <si>
    <t>Como equipo de desarrollo, necesitamos integrar los módulos y realizar pruebas funcionales con usuarios reales, con el fin de validar el correcto funcionamiento de la aplicación y la experiencia del usuario.</t>
  </si>
  <si>
    <t>Integración y Pruebas del Sistema</t>
  </si>
  <si>
    <t>Integrar módulos en entorno de pruebas (login, suscripción, beneficios, alertas)</t>
  </si>
  <si>
    <t>Corregir errores detectados en la conexión API y base de datos</t>
  </si>
  <si>
    <t>Realizar pruebas de usabilidad con adultos mayores</t>
  </si>
  <si>
    <t>Ajustes visuales y mejoras en accesibilidad (UX/UI)</t>
  </si>
  <si>
    <t xml:space="preserve">Camila Rojas </t>
  </si>
  <si>
    <t>Elaborar informe de resultados y feedback de pruebas</t>
  </si>
  <si>
    <t>Validación final con stakeholder (presentación funcional)</t>
  </si>
  <si>
    <t>APT2025-AML-008</t>
  </si>
  <si>
    <t>Como equipo de desarrollo, necesitamos preparar la documentación técnica, el material audiovisual y la entrega formal del proyecto para garantizar una presentación profesional y comprensible ante docentes y stakeholders.</t>
  </si>
  <si>
    <t>Entrega y Documentación Final</t>
  </si>
  <si>
    <t xml:space="preserve">KLJ Solutions </t>
  </si>
  <si>
    <t>Redactar informe técnico del proyecto APT (versión final)</t>
  </si>
  <si>
    <t xml:space="preserve">Completado </t>
  </si>
  <si>
    <t>Revisar y actualizar documentación funcional y de pruebas</t>
  </si>
  <si>
    <t>Elaborar manual técnico (instalación y configuración)</t>
  </si>
  <si>
    <t>Grabar y editar video demostrativo del sistema</t>
  </si>
  <si>
    <t>Diseñar diapositivas para defensa oral (pitch final)</t>
  </si>
  <si>
    <t>Validar informe y video con docente guía</t>
  </si>
  <si>
    <t>Lista de tareas de la iteración (Sprint Backlog): Instructivo</t>
  </si>
  <si>
    <t>Elaborado por: pmoinformatica.com</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</si>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</sst>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
      <b/>
      <sz val="11.0"/>
      <color theme="1"/>
      <name val="Calibri"/>
    </font>
    <font>
      <color theme="1"/>
      <name val="Calibri"/>
      <scheme val="minor"/>
    </font>
    <font>
      <b/>
      <color theme="1"/>
      <name val="Calibri"/>
      <scheme val="minor"/>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
      <patternFill patternType="solid">
        <fgColor rgb="FFFFFFFF"/>
        <bgColor rgb="FFFFFFFF"/>
      </patternFill>
    </fill>
  </fills>
  <borders count="7">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1" numFmtId="0" xfId="0" applyAlignment="1" applyBorder="1" applyFont="1">
      <alignment shrinkToFit="0" wrapText="1"/>
    </xf>
    <xf borderId="1" fillId="2" fontId="1" numFmtId="0" xfId="0" applyAlignment="1" applyBorder="1" applyFont="1">
      <alignment horizontal="left" shrinkToFit="0" wrapText="1"/>
    </xf>
    <xf borderId="1" fillId="2" fontId="3" numFmtId="0" xfId="0" applyAlignment="1" applyBorder="1" applyFont="1">
      <alignment readingOrder="0"/>
    </xf>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5" fillId="3" fontId="6" numFmtId="0" xfId="0" applyAlignment="1" applyBorder="1" applyFont="1">
      <alignment horizontal="left" readingOrder="0" shrinkToFit="0" vertical="center" wrapText="1"/>
    </xf>
    <xf borderId="6" fillId="3" fontId="4" numFmtId="0" xfId="0" applyAlignment="1" applyBorder="1" applyFont="1">
      <alignment horizontal="center" shrinkToFit="0" vertical="center" wrapText="1"/>
    </xf>
    <xf borderId="1" fillId="2" fontId="1" numFmtId="0" xfId="0" applyAlignment="1" applyBorder="1" applyFont="1">
      <alignment vertical="bottom"/>
    </xf>
    <xf borderId="5" fillId="2" fontId="7" numFmtId="0" xfId="0" applyAlignment="1" applyBorder="1" applyFont="1">
      <alignment horizontal="left" readingOrder="0" shrinkToFit="0" vertical="bottom" wrapText="1"/>
    </xf>
    <xf borderId="5" fillId="2" fontId="1" numFmtId="0" xfId="0" applyAlignment="1" applyBorder="1" applyFont="1">
      <alignment horizontal="left" readingOrder="0" shrinkToFit="0" vertical="bottom" wrapText="1"/>
    </xf>
    <xf borderId="5" fillId="2" fontId="1" numFmtId="0" xfId="0" applyAlignment="1" applyBorder="1" applyFont="1">
      <alignment horizontal="right" readingOrder="0" shrinkToFit="0" vertical="bottom" wrapText="1"/>
    </xf>
    <xf borderId="5" fillId="4" fontId="1" numFmtId="0" xfId="0" applyAlignment="1" applyBorder="1" applyFill="1" applyFont="1">
      <alignment horizontal="right" shrinkToFit="0" vertical="bottom" wrapText="1"/>
    </xf>
    <xf borderId="5" fillId="2" fontId="1" numFmtId="0" xfId="0" applyAlignment="1" applyBorder="1" applyFont="1">
      <alignment horizontal="right" shrinkToFit="0" vertical="bottom" wrapText="1"/>
    </xf>
    <xf borderId="5" fillId="5" fontId="1" numFmtId="0" xfId="0" applyAlignment="1" applyBorder="1" applyFill="1" applyFont="1">
      <alignment horizontal="right" shrinkToFit="0" vertical="bottom" wrapText="1"/>
    </xf>
    <xf borderId="5" fillId="2" fontId="1" numFmtId="0" xfId="0" applyAlignment="1" applyBorder="1" applyFont="1">
      <alignment horizontal="left" shrinkToFit="0" vertical="top"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right" readingOrder="0" shrinkToFit="0" vertical="top" wrapText="1"/>
    </xf>
    <xf borderId="5" fillId="2" fontId="1" numFmtId="0" xfId="0" applyAlignment="1" applyBorder="1" applyFont="1">
      <alignment horizontal="right" shrinkToFit="0" vertical="top" wrapText="1"/>
    </xf>
    <xf borderId="5" fillId="4" fontId="1" numFmtId="0" xfId="0" applyAlignment="1" applyBorder="1" applyFont="1">
      <alignment horizontal="right" shrinkToFit="0" vertical="top" wrapText="1"/>
    </xf>
    <xf borderId="5" fillId="5" fontId="1" numFmtId="0" xfId="0" applyAlignment="1" applyBorder="1" applyFont="1">
      <alignment horizontal="right" shrinkToFit="0" vertical="top" wrapText="1"/>
    </xf>
    <xf borderId="5" fillId="2" fontId="7" numFmtId="0" xfId="0" applyAlignment="1" applyBorder="1" applyFont="1">
      <alignment horizontal="left" readingOrder="0" shrinkToFit="0" vertical="top" wrapText="1"/>
    </xf>
    <xf borderId="0" fillId="0" fontId="8" numFmtId="0" xfId="0" applyAlignment="1" applyFont="1">
      <alignment readingOrder="0" shrinkToFit="0" wrapText="1"/>
    </xf>
    <xf borderId="5" fillId="6" fontId="1" numFmtId="0" xfId="0" applyAlignment="1" applyBorder="1" applyFill="1" applyFont="1">
      <alignment horizontal="left" readingOrder="0" shrinkToFit="0" vertical="top" wrapText="1"/>
    </xf>
    <xf borderId="5" fillId="6" fontId="1" numFmtId="0" xfId="0" applyAlignment="1" applyBorder="1" applyFont="1">
      <alignment readingOrder="0" vertical="top"/>
    </xf>
    <xf borderId="5" fillId="6" fontId="1" numFmtId="0" xfId="0" applyAlignment="1" applyBorder="1" applyFont="1">
      <alignment horizontal="right" shrinkToFit="0" vertical="top" wrapText="1"/>
    </xf>
    <xf borderId="5" fillId="4" fontId="1" numFmtId="0" xfId="0" applyAlignment="1" applyBorder="1" applyFont="1">
      <alignment vertical="top"/>
    </xf>
    <xf borderId="5" fillId="6" fontId="1" numFmtId="0" xfId="0" applyAlignment="1" applyBorder="1" applyFont="1">
      <alignment horizontal="right" shrinkToFit="0" vertical="top" wrapText="1"/>
    </xf>
    <xf borderId="5" fillId="6" fontId="1" numFmtId="0" xfId="0" applyAlignment="1" applyBorder="1" applyFont="1">
      <alignment vertical="top"/>
    </xf>
    <xf borderId="5" fillId="6" fontId="1" numFmtId="0" xfId="0" applyAlignment="1" applyBorder="1" applyFont="1">
      <alignment vertical="top"/>
    </xf>
    <xf borderId="0" fillId="0" fontId="9" numFmtId="0" xfId="0" applyAlignment="1" applyFont="1">
      <alignment readingOrder="0" shrinkToFit="0" vertical="bottom" wrapText="1"/>
    </xf>
    <xf borderId="5" fillId="2" fontId="1" numFmtId="0" xfId="0" applyAlignment="1" applyBorder="1" applyFont="1">
      <alignment horizontal="left" shrinkToFit="0" vertical="bottom" wrapText="1"/>
    </xf>
    <xf borderId="5" fillId="6" fontId="7" numFmtId="0" xfId="0" applyAlignment="1" applyBorder="1" applyFont="1">
      <alignment readingOrder="0" shrinkToFit="0" vertical="bottom" wrapText="1"/>
    </xf>
    <xf borderId="5" fillId="6" fontId="1" numFmtId="0" xfId="0" applyAlignment="1" applyBorder="1" applyFont="1">
      <alignment shrinkToFit="0" vertical="bottom" wrapText="1"/>
    </xf>
    <xf borderId="5" fillId="6" fontId="1" numFmtId="0" xfId="0" applyAlignment="1" applyBorder="1" applyFont="1">
      <alignment vertical="bottom"/>
    </xf>
    <xf borderId="5" fillId="6" fontId="1" numFmtId="0" xfId="0" applyAlignment="1" applyBorder="1" applyFont="1">
      <alignment horizontal="left" readingOrder="0" shrinkToFit="0" vertical="bottom" wrapText="1"/>
    </xf>
    <xf borderId="5" fillId="6" fontId="1" numFmtId="0" xfId="0" applyAlignment="1" applyBorder="1" applyFont="1">
      <alignment horizontal="right" shrinkToFit="0" vertical="bottom" wrapText="1"/>
    </xf>
    <xf borderId="5" fillId="4" fontId="1" numFmtId="0" xfId="0" applyAlignment="1" applyBorder="1" applyFont="1">
      <alignment vertical="bottom"/>
    </xf>
    <xf borderId="5" fillId="6" fontId="1" numFmtId="0" xfId="0" applyAlignment="1" applyBorder="1" applyFont="1">
      <alignment readingOrder="0" shrinkToFit="0" vertical="top" wrapText="1"/>
    </xf>
    <xf borderId="5" fillId="6" fontId="1" numFmtId="0" xfId="0" applyAlignment="1" applyBorder="1" applyFont="1">
      <alignment horizontal="right" readingOrder="0" shrinkToFit="0" vertical="top" wrapText="1"/>
    </xf>
    <xf borderId="1" fillId="2" fontId="3" numFmtId="0" xfId="0" applyBorder="1" applyFont="1"/>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8.57"/>
    <col customWidth="1" min="4" max="4" width="20.86"/>
    <col customWidth="1" min="5" max="5" width="12.0"/>
    <col customWidth="1" min="6" max="6" width="11.86"/>
    <col customWidth="1" min="7" max="7" width="12.29"/>
    <col customWidth="1" min="8" max="8" width="6.0"/>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3"/>
      <c r="F1" s="1"/>
      <c r="G1" s="4"/>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3"/>
      <c r="F2" s="1"/>
      <c r="G2" s="4"/>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5" t="s">
        <v>2</v>
      </c>
      <c r="C3" s="1"/>
      <c r="D3" s="1"/>
      <c r="E3" s="3"/>
      <c r="F3" s="1"/>
      <c r="G3" s="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3"/>
      <c r="F4" s="1"/>
      <c r="G4" s="4"/>
      <c r="H4" s="6" t="s">
        <v>3</v>
      </c>
      <c r="I4" s="7"/>
      <c r="J4" s="8"/>
      <c r="K4" s="6" t="s">
        <v>4</v>
      </c>
      <c r="L4" s="7"/>
      <c r="M4" s="8"/>
      <c r="N4" s="6" t="s">
        <v>5</v>
      </c>
      <c r="O4" s="7"/>
      <c r="P4" s="8"/>
      <c r="Q4" s="6" t="s">
        <v>6</v>
      </c>
      <c r="R4" s="7"/>
      <c r="S4" s="8"/>
      <c r="T4" s="6" t="s">
        <v>7</v>
      </c>
      <c r="U4" s="7"/>
      <c r="V4" s="8"/>
      <c r="W4" s="6" t="s">
        <v>8</v>
      </c>
      <c r="X4" s="7"/>
      <c r="Y4" s="8"/>
      <c r="Z4" s="6" t="s">
        <v>9</v>
      </c>
      <c r="AA4" s="7"/>
      <c r="AB4" s="8"/>
      <c r="AC4" s="6" t="s">
        <v>10</v>
      </c>
      <c r="AD4" s="7"/>
      <c r="AE4" s="8"/>
      <c r="AF4" s="6" t="s">
        <v>11</v>
      </c>
      <c r="AG4" s="7"/>
      <c r="AH4" s="8"/>
      <c r="AI4" s="6" t="s">
        <v>12</v>
      </c>
      <c r="AJ4" s="7"/>
      <c r="AK4" s="8"/>
      <c r="AL4" s="6" t="s">
        <v>13</v>
      </c>
      <c r="AM4" s="7"/>
      <c r="AN4" s="8"/>
      <c r="AO4" s="6" t="s">
        <v>14</v>
      </c>
      <c r="AP4" s="7"/>
      <c r="AQ4" s="8"/>
      <c r="AR4" s="6" t="s">
        <v>15</v>
      </c>
      <c r="AS4" s="7"/>
      <c r="AT4" s="8"/>
      <c r="AU4" s="6" t="s">
        <v>16</v>
      </c>
      <c r="AV4" s="7"/>
      <c r="AW4" s="8"/>
      <c r="AX4" s="6" t="s">
        <v>17</v>
      </c>
      <c r="AY4" s="7"/>
      <c r="AZ4" s="8"/>
      <c r="BA4" s="6" t="s">
        <v>18</v>
      </c>
      <c r="BB4" s="7"/>
      <c r="BC4" s="8"/>
      <c r="BD4" s="6" t="s">
        <v>19</v>
      </c>
      <c r="BE4" s="7"/>
      <c r="BF4" s="8"/>
      <c r="BG4" s="6" t="s">
        <v>20</v>
      </c>
      <c r="BH4" s="7"/>
      <c r="BI4" s="8"/>
      <c r="BJ4" s="6" t="s">
        <v>21</v>
      </c>
      <c r="BK4" s="7"/>
      <c r="BL4" s="8"/>
      <c r="BM4" s="6" t="s">
        <v>22</v>
      </c>
      <c r="BN4" s="7"/>
      <c r="BO4" s="8"/>
      <c r="BP4" s="6" t="s">
        <v>23</v>
      </c>
      <c r="BQ4" s="7"/>
    </row>
    <row r="5">
      <c r="A5" s="3"/>
      <c r="B5" s="9" t="s">
        <v>24</v>
      </c>
      <c r="C5" s="9" t="s">
        <v>25</v>
      </c>
      <c r="D5" s="9" t="s">
        <v>26</v>
      </c>
      <c r="E5" s="9" t="s">
        <v>27</v>
      </c>
      <c r="F5" s="9" t="s">
        <v>28</v>
      </c>
      <c r="G5" s="10" t="s">
        <v>29</v>
      </c>
      <c r="H5" s="11" t="s">
        <v>30</v>
      </c>
      <c r="I5" s="11" t="s">
        <v>31</v>
      </c>
      <c r="J5" s="11"/>
      <c r="K5" s="11" t="s">
        <v>30</v>
      </c>
      <c r="L5" s="11" t="s">
        <v>31</v>
      </c>
      <c r="M5" s="11"/>
      <c r="N5" s="11" t="s">
        <v>30</v>
      </c>
      <c r="O5" s="11" t="s">
        <v>31</v>
      </c>
      <c r="P5" s="11"/>
      <c r="Q5" s="11" t="s">
        <v>30</v>
      </c>
      <c r="R5" s="11" t="s">
        <v>31</v>
      </c>
      <c r="S5" s="11"/>
      <c r="T5" s="11" t="s">
        <v>30</v>
      </c>
      <c r="U5" s="11" t="s">
        <v>31</v>
      </c>
      <c r="V5" s="11"/>
      <c r="W5" s="11" t="s">
        <v>30</v>
      </c>
      <c r="X5" s="11" t="s">
        <v>31</v>
      </c>
      <c r="Y5" s="11"/>
      <c r="Z5" s="11" t="s">
        <v>30</v>
      </c>
      <c r="AA5" s="11" t="s">
        <v>31</v>
      </c>
      <c r="AB5" s="11"/>
      <c r="AC5" s="11" t="s">
        <v>30</v>
      </c>
      <c r="AD5" s="11" t="s">
        <v>31</v>
      </c>
      <c r="AE5" s="11"/>
      <c r="AF5" s="11" t="s">
        <v>30</v>
      </c>
      <c r="AG5" s="11" t="s">
        <v>31</v>
      </c>
      <c r="AH5" s="11"/>
      <c r="AI5" s="11" t="s">
        <v>30</v>
      </c>
      <c r="AJ5" s="11" t="s">
        <v>31</v>
      </c>
      <c r="AK5" s="11"/>
      <c r="AL5" s="11" t="s">
        <v>30</v>
      </c>
      <c r="AM5" s="11" t="s">
        <v>31</v>
      </c>
      <c r="AN5" s="11"/>
      <c r="AO5" s="11" t="s">
        <v>30</v>
      </c>
      <c r="AP5" s="11" t="s">
        <v>31</v>
      </c>
      <c r="AQ5" s="11"/>
      <c r="AR5" s="11" t="s">
        <v>30</v>
      </c>
      <c r="AS5" s="11" t="s">
        <v>31</v>
      </c>
      <c r="AT5" s="11"/>
      <c r="AU5" s="11" t="s">
        <v>30</v>
      </c>
      <c r="AV5" s="11" t="s">
        <v>31</v>
      </c>
      <c r="AW5" s="11"/>
      <c r="AX5" s="11" t="s">
        <v>30</v>
      </c>
      <c r="AY5" s="11" t="s">
        <v>31</v>
      </c>
      <c r="AZ5" s="11"/>
      <c r="BA5" s="11" t="s">
        <v>30</v>
      </c>
      <c r="BB5" s="11" t="s">
        <v>31</v>
      </c>
      <c r="BC5" s="11"/>
      <c r="BD5" s="11" t="s">
        <v>30</v>
      </c>
      <c r="BE5" s="11" t="s">
        <v>31</v>
      </c>
      <c r="BF5" s="11"/>
      <c r="BG5" s="11" t="s">
        <v>30</v>
      </c>
      <c r="BH5" s="11" t="s">
        <v>31</v>
      </c>
      <c r="BI5" s="11"/>
      <c r="BJ5" s="11" t="s">
        <v>30</v>
      </c>
      <c r="BK5" s="11" t="s">
        <v>31</v>
      </c>
      <c r="BL5" s="11"/>
      <c r="BM5" s="11" t="s">
        <v>30</v>
      </c>
      <c r="BN5" s="11" t="s">
        <v>31</v>
      </c>
      <c r="BO5" s="11"/>
      <c r="BP5" s="11" t="s">
        <v>30</v>
      </c>
      <c r="BQ5" s="11" t="s">
        <v>31</v>
      </c>
    </row>
    <row r="6">
      <c r="A6" s="12"/>
      <c r="B6" s="13" t="s">
        <v>32</v>
      </c>
      <c r="C6" s="13" t="s">
        <v>33</v>
      </c>
      <c r="D6" s="13" t="s">
        <v>34</v>
      </c>
      <c r="E6" s="14"/>
      <c r="F6" s="14"/>
      <c r="G6" s="14">
        <v>12.0</v>
      </c>
      <c r="H6" s="15"/>
      <c r="I6" s="15">
        <f t="shared" ref="I6:I58" si="1">G6-H6</f>
        <v>12</v>
      </c>
      <c r="J6" s="16"/>
      <c r="K6" s="15"/>
      <c r="L6" s="17">
        <f>G6-K6</f>
        <v>12</v>
      </c>
      <c r="M6" s="16"/>
      <c r="N6" s="15"/>
      <c r="O6" s="17">
        <f>G6-N6</f>
        <v>12</v>
      </c>
      <c r="P6" s="16"/>
      <c r="Q6" s="15"/>
      <c r="R6" s="17">
        <f t="shared" ref="R6:R9" si="2">O6-Q6</f>
        <v>12</v>
      </c>
      <c r="S6" s="16"/>
      <c r="T6" s="17"/>
      <c r="U6" s="17">
        <f t="shared" ref="U6:U58" si="3">R6-T6</f>
        <v>12</v>
      </c>
      <c r="V6" s="16"/>
      <c r="W6" s="17"/>
      <c r="X6" s="17">
        <f t="shared" ref="X6:X58" si="4">U6-W6</f>
        <v>12</v>
      </c>
      <c r="Y6" s="16"/>
      <c r="Z6" s="17"/>
      <c r="AA6" s="17">
        <f t="shared" ref="AA6:AA58" si="5">X6-Z6</f>
        <v>12</v>
      </c>
      <c r="AB6" s="16"/>
      <c r="AC6" s="17"/>
      <c r="AD6" s="17">
        <f t="shared" ref="AD6:AD58" si="6">AA6-AC6</f>
        <v>12</v>
      </c>
      <c r="AE6" s="16"/>
      <c r="AF6" s="17"/>
      <c r="AG6" s="17">
        <f t="shared" ref="AG6:AG58" si="7">AD6-AF6</f>
        <v>12</v>
      </c>
      <c r="AH6" s="16"/>
      <c r="AI6" s="17"/>
      <c r="AJ6" s="17">
        <f t="shared" ref="AJ6:AJ58" si="8">AG6-AI6</f>
        <v>12</v>
      </c>
      <c r="AK6" s="16"/>
      <c r="AL6" s="17"/>
      <c r="AM6" s="17">
        <f t="shared" ref="AM6:AM58" si="9">AJ6-AL6</f>
        <v>12</v>
      </c>
      <c r="AN6" s="16"/>
      <c r="AO6" s="17"/>
      <c r="AP6" s="17">
        <f t="shared" ref="AP6:AP58" si="10">AM6-AO6</f>
        <v>12</v>
      </c>
      <c r="AQ6" s="16"/>
      <c r="AR6" s="17"/>
      <c r="AS6" s="17">
        <f t="shared" ref="AS6:AS58" si="11">AP6-AR6</f>
        <v>12</v>
      </c>
      <c r="AT6" s="16"/>
      <c r="AU6" s="17"/>
      <c r="AV6" s="17">
        <f t="shared" ref="AV6:AV58" si="12">AS6-AU6</f>
        <v>12</v>
      </c>
      <c r="AW6" s="16"/>
      <c r="AX6" s="17"/>
      <c r="AY6" s="17">
        <f t="shared" ref="AY6:AY58" si="13">AV6-AX6</f>
        <v>12</v>
      </c>
      <c r="AZ6" s="16"/>
      <c r="BA6" s="17"/>
      <c r="BB6" s="17">
        <f t="shared" ref="BB6:BB58" si="14">AY6-BA6</f>
        <v>12</v>
      </c>
      <c r="BC6" s="16"/>
      <c r="BD6" s="17"/>
      <c r="BE6" s="17">
        <f t="shared" ref="BE6:BE58" si="15">BB6-BD6</f>
        <v>12</v>
      </c>
      <c r="BF6" s="16"/>
      <c r="BG6" s="17"/>
      <c r="BH6" s="17">
        <f t="shared" ref="BH6:BH58" si="16">BE6-BG6</f>
        <v>12</v>
      </c>
      <c r="BI6" s="16"/>
      <c r="BJ6" s="17"/>
      <c r="BK6" s="17">
        <f t="shared" ref="BK6:BK58" si="17">BH6-BJ6</f>
        <v>12</v>
      </c>
      <c r="BL6" s="16"/>
      <c r="BM6" s="17"/>
      <c r="BN6" s="17">
        <f t="shared" ref="BN6:BN58" si="18">BK6-BM6</f>
        <v>12</v>
      </c>
      <c r="BO6" s="16"/>
      <c r="BP6" s="18">
        <f t="shared" ref="BP6:BP9" si="19">H6+K6+N6+Q6+T6+W6+Z6+AC6+AF6+AI6+AL6+AO6+AR6+AU6+AX6+BA6+BD6+BG6+BJ6+BM6</f>
        <v>0</v>
      </c>
      <c r="BQ6" s="18">
        <f t="shared" ref="BQ6:BQ58" si="20">G6-BP6</f>
        <v>12</v>
      </c>
    </row>
    <row r="7">
      <c r="A7" s="1"/>
      <c r="B7" s="19"/>
      <c r="C7" s="19"/>
      <c r="D7" s="20" t="s">
        <v>35</v>
      </c>
      <c r="E7" s="20" t="s">
        <v>36</v>
      </c>
      <c r="F7" s="20" t="s">
        <v>37</v>
      </c>
      <c r="G7" s="20">
        <v>4.0</v>
      </c>
      <c r="H7" s="21">
        <v>2.0</v>
      </c>
      <c r="I7" s="22">
        <f t="shared" si="1"/>
        <v>2</v>
      </c>
      <c r="J7" s="23"/>
      <c r="K7" s="21">
        <v>2.0</v>
      </c>
      <c r="L7" s="22">
        <f t="shared" ref="L7:L58" si="21">I7-K7</f>
        <v>0</v>
      </c>
      <c r="M7" s="23"/>
      <c r="N7" s="21"/>
      <c r="O7" s="22">
        <f t="shared" ref="O7:O58" si="22">L7-N7</f>
        <v>0</v>
      </c>
      <c r="P7" s="23"/>
      <c r="Q7" s="21"/>
      <c r="R7" s="22">
        <f t="shared" si="2"/>
        <v>0</v>
      </c>
      <c r="S7" s="23"/>
      <c r="T7" s="22"/>
      <c r="U7" s="22">
        <f t="shared" si="3"/>
        <v>0</v>
      </c>
      <c r="V7" s="23"/>
      <c r="W7" s="22"/>
      <c r="X7" s="22">
        <f t="shared" si="4"/>
        <v>0</v>
      </c>
      <c r="Y7" s="23"/>
      <c r="Z7" s="22"/>
      <c r="AA7" s="22">
        <f t="shared" si="5"/>
        <v>0</v>
      </c>
      <c r="AB7" s="23"/>
      <c r="AC7" s="22"/>
      <c r="AD7" s="22">
        <f t="shared" si="6"/>
        <v>0</v>
      </c>
      <c r="AE7" s="23"/>
      <c r="AF7" s="22"/>
      <c r="AG7" s="22">
        <f t="shared" si="7"/>
        <v>0</v>
      </c>
      <c r="AH7" s="23"/>
      <c r="AI7" s="22"/>
      <c r="AJ7" s="22">
        <f t="shared" si="8"/>
        <v>0</v>
      </c>
      <c r="AK7" s="23"/>
      <c r="AL7" s="22"/>
      <c r="AM7" s="22">
        <f t="shared" si="9"/>
        <v>0</v>
      </c>
      <c r="AN7" s="23"/>
      <c r="AO7" s="22"/>
      <c r="AP7" s="22">
        <f t="shared" si="10"/>
        <v>0</v>
      </c>
      <c r="AQ7" s="23"/>
      <c r="AR7" s="22"/>
      <c r="AS7" s="22">
        <f t="shared" si="11"/>
        <v>0</v>
      </c>
      <c r="AT7" s="23"/>
      <c r="AU7" s="22"/>
      <c r="AV7" s="22">
        <f t="shared" si="12"/>
        <v>0</v>
      </c>
      <c r="AW7" s="23"/>
      <c r="AX7" s="22"/>
      <c r="AY7" s="22">
        <f t="shared" si="13"/>
        <v>0</v>
      </c>
      <c r="AZ7" s="23"/>
      <c r="BA7" s="22"/>
      <c r="BB7" s="22">
        <f t="shared" si="14"/>
        <v>0</v>
      </c>
      <c r="BC7" s="23"/>
      <c r="BD7" s="22"/>
      <c r="BE7" s="22">
        <f t="shared" si="15"/>
        <v>0</v>
      </c>
      <c r="BF7" s="23"/>
      <c r="BG7" s="22"/>
      <c r="BH7" s="22">
        <f t="shared" si="16"/>
        <v>0</v>
      </c>
      <c r="BI7" s="23"/>
      <c r="BJ7" s="22"/>
      <c r="BK7" s="22">
        <f t="shared" si="17"/>
        <v>0</v>
      </c>
      <c r="BL7" s="23"/>
      <c r="BM7" s="22"/>
      <c r="BN7" s="22">
        <f t="shared" si="18"/>
        <v>0</v>
      </c>
      <c r="BO7" s="23"/>
      <c r="BP7" s="24">
        <f t="shared" si="19"/>
        <v>4</v>
      </c>
      <c r="BQ7" s="24">
        <f t="shared" si="20"/>
        <v>0</v>
      </c>
    </row>
    <row r="8">
      <c r="A8" s="1"/>
      <c r="B8" s="19"/>
      <c r="C8" s="19"/>
      <c r="D8" s="20" t="s">
        <v>38</v>
      </c>
      <c r="E8" s="20" t="s">
        <v>36</v>
      </c>
      <c r="F8" s="20" t="s">
        <v>37</v>
      </c>
      <c r="G8" s="20">
        <v>6.0</v>
      </c>
      <c r="H8" s="21">
        <v>2.0</v>
      </c>
      <c r="I8" s="22">
        <f t="shared" si="1"/>
        <v>4</v>
      </c>
      <c r="J8" s="23"/>
      <c r="K8" s="21">
        <v>2.0</v>
      </c>
      <c r="L8" s="22">
        <f t="shared" si="21"/>
        <v>2</v>
      </c>
      <c r="M8" s="23"/>
      <c r="N8" s="21">
        <v>2.0</v>
      </c>
      <c r="O8" s="22">
        <f t="shared" si="22"/>
        <v>0</v>
      </c>
      <c r="P8" s="23"/>
      <c r="Q8" s="22"/>
      <c r="R8" s="22">
        <f t="shared" si="2"/>
        <v>0</v>
      </c>
      <c r="S8" s="23"/>
      <c r="T8" s="22"/>
      <c r="U8" s="22">
        <f t="shared" si="3"/>
        <v>0</v>
      </c>
      <c r="V8" s="23"/>
      <c r="W8" s="22"/>
      <c r="X8" s="22">
        <f t="shared" si="4"/>
        <v>0</v>
      </c>
      <c r="Y8" s="23"/>
      <c r="Z8" s="22"/>
      <c r="AA8" s="22">
        <f t="shared" si="5"/>
        <v>0</v>
      </c>
      <c r="AB8" s="23"/>
      <c r="AC8" s="22"/>
      <c r="AD8" s="22">
        <f t="shared" si="6"/>
        <v>0</v>
      </c>
      <c r="AE8" s="23"/>
      <c r="AF8" s="22"/>
      <c r="AG8" s="22">
        <f t="shared" si="7"/>
        <v>0</v>
      </c>
      <c r="AH8" s="23"/>
      <c r="AI8" s="22"/>
      <c r="AJ8" s="22">
        <f t="shared" si="8"/>
        <v>0</v>
      </c>
      <c r="AK8" s="23"/>
      <c r="AL8" s="22"/>
      <c r="AM8" s="22">
        <f t="shared" si="9"/>
        <v>0</v>
      </c>
      <c r="AN8" s="23"/>
      <c r="AO8" s="22"/>
      <c r="AP8" s="22">
        <f t="shared" si="10"/>
        <v>0</v>
      </c>
      <c r="AQ8" s="23"/>
      <c r="AR8" s="22"/>
      <c r="AS8" s="22">
        <f t="shared" si="11"/>
        <v>0</v>
      </c>
      <c r="AT8" s="23"/>
      <c r="AU8" s="22"/>
      <c r="AV8" s="22">
        <f t="shared" si="12"/>
        <v>0</v>
      </c>
      <c r="AW8" s="23"/>
      <c r="AX8" s="22"/>
      <c r="AY8" s="22">
        <f t="shared" si="13"/>
        <v>0</v>
      </c>
      <c r="AZ8" s="23"/>
      <c r="BA8" s="22"/>
      <c r="BB8" s="22">
        <f t="shared" si="14"/>
        <v>0</v>
      </c>
      <c r="BC8" s="23"/>
      <c r="BD8" s="22"/>
      <c r="BE8" s="22">
        <f t="shared" si="15"/>
        <v>0</v>
      </c>
      <c r="BF8" s="23"/>
      <c r="BG8" s="22"/>
      <c r="BH8" s="22">
        <f t="shared" si="16"/>
        <v>0</v>
      </c>
      <c r="BI8" s="23"/>
      <c r="BJ8" s="22"/>
      <c r="BK8" s="22">
        <f t="shared" si="17"/>
        <v>0</v>
      </c>
      <c r="BL8" s="23"/>
      <c r="BM8" s="22"/>
      <c r="BN8" s="22">
        <f t="shared" si="18"/>
        <v>0</v>
      </c>
      <c r="BO8" s="23"/>
      <c r="BP8" s="24">
        <f t="shared" si="19"/>
        <v>6</v>
      </c>
      <c r="BQ8" s="24">
        <f t="shared" si="20"/>
        <v>0</v>
      </c>
    </row>
    <row r="9" ht="22.5" customHeight="1">
      <c r="A9" s="1"/>
      <c r="B9" s="19"/>
      <c r="C9" s="19"/>
      <c r="D9" s="20" t="s">
        <v>39</v>
      </c>
      <c r="E9" s="20" t="s">
        <v>40</v>
      </c>
      <c r="F9" s="20" t="s">
        <v>37</v>
      </c>
      <c r="G9" s="20">
        <v>2.0</v>
      </c>
      <c r="H9" s="21">
        <v>2.0</v>
      </c>
      <c r="I9" s="22">
        <f t="shared" si="1"/>
        <v>0</v>
      </c>
      <c r="J9" s="23"/>
      <c r="K9" s="22"/>
      <c r="L9" s="22">
        <f t="shared" si="21"/>
        <v>0</v>
      </c>
      <c r="M9" s="23"/>
      <c r="N9" s="22"/>
      <c r="O9" s="22">
        <f t="shared" si="22"/>
        <v>0</v>
      </c>
      <c r="P9" s="23"/>
      <c r="Q9" s="21"/>
      <c r="R9" s="22">
        <f t="shared" si="2"/>
        <v>0</v>
      </c>
      <c r="S9" s="23"/>
      <c r="T9" s="22"/>
      <c r="U9" s="22">
        <f t="shared" si="3"/>
        <v>0</v>
      </c>
      <c r="V9" s="23"/>
      <c r="W9" s="22"/>
      <c r="X9" s="22">
        <f t="shared" si="4"/>
        <v>0</v>
      </c>
      <c r="Y9" s="23"/>
      <c r="Z9" s="22"/>
      <c r="AA9" s="22">
        <f t="shared" si="5"/>
        <v>0</v>
      </c>
      <c r="AB9" s="23"/>
      <c r="AC9" s="22"/>
      <c r="AD9" s="22">
        <f t="shared" si="6"/>
        <v>0</v>
      </c>
      <c r="AE9" s="23"/>
      <c r="AF9" s="22"/>
      <c r="AG9" s="22">
        <f t="shared" si="7"/>
        <v>0</v>
      </c>
      <c r="AH9" s="23"/>
      <c r="AI9" s="22"/>
      <c r="AJ9" s="22">
        <f t="shared" si="8"/>
        <v>0</v>
      </c>
      <c r="AK9" s="23"/>
      <c r="AL9" s="22"/>
      <c r="AM9" s="22">
        <f t="shared" si="9"/>
        <v>0</v>
      </c>
      <c r="AN9" s="23"/>
      <c r="AO9" s="22"/>
      <c r="AP9" s="22">
        <f t="shared" si="10"/>
        <v>0</v>
      </c>
      <c r="AQ9" s="23"/>
      <c r="AR9" s="22"/>
      <c r="AS9" s="22">
        <f t="shared" si="11"/>
        <v>0</v>
      </c>
      <c r="AT9" s="23"/>
      <c r="AU9" s="22"/>
      <c r="AV9" s="22">
        <f t="shared" si="12"/>
        <v>0</v>
      </c>
      <c r="AW9" s="23"/>
      <c r="AX9" s="22"/>
      <c r="AY9" s="22">
        <f t="shared" si="13"/>
        <v>0</v>
      </c>
      <c r="AZ9" s="23"/>
      <c r="BA9" s="22"/>
      <c r="BB9" s="22">
        <f t="shared" si="14"/>
        <v>0</v>
      </c>
      <c r="BC9" s="23"/>
      <c r="BD9" s="22"/>
      <c r="BE9" s="22">
        <f t="shared" si="15"/>
        <v>0</v>
      </c>
      <c r="BF9" s="23"/>
      <c r="BG9" s="22"/>
      <c r="BH9" s="22">
        <f t="shared" si="16"/>
        <v>0</v>
      </c>
      <c r="BI9" s="23"/>
      <c r="BJ9" s="22"/>
      <c r="BK9" s="22">
        <f t="shared" si="17"/>
        <v>0</v>
      </c>
      <c r="BL9" s="23"/>
      <c r="BM9" s="22"/>
      <c r="BN9" s="22">
        <f t="shared" si="18"/>
        <v>0</v>
      </c>
      <c r="BO9" s="23"/>
      <c r="BP9" s="24">
        <f t="shared" si="19"/>
        <v>2</v>
      </c>
      <c r="BQ9" s="24">
        <f t="shared" si="20"/>
        <v>0</v>
      </c>
    </row>
    <row r="10">
      <c r="A10" s="1"/>
      <c r="B10" s="13" t="s">
        <v>41</v>
      </c>
      <c r="C10" s="25" t="s">
        <v>42</v>
      </c>
      <c r="D10" s="13" t="s">
        <v>43</v>
      </c>
      <c r="E10" s="20"/>
      <c r="F10" s="20"/>
      <c r="G10" s="20">
        <v>34.0</v>
      </c>
      <c r="H10" s="21"/>
      <c r="I10" s="22">
        <f t="shared" si="1"/>
        <v>34</v>
      </c>
      <c r="J10" s="23"/>
      <c r="K10" s="21"/>
      <c r="L10" s="22">
        <f t="shared" si="21"/>
        <v>34</v>
      </c>
      <c r="M10" s="23"/>
      <c r="N10" s="22"/>
      <c r="O10" s="22">
        <f t="shared" si="22"/>
        <v>34</v>
      </c>
      <c r="P10" s="23"/>
      <c r="Q10" s="22"/>
      <c r="R10" s="21">
        <f>G10-Q10</f>
        <v>34</v>
      </c>
      <c r="S10" s="23"/>
      <c r="T10" s="22"/>
      <c r="U10" s="22">
        <f t="shared" si="3"/>
        <v>34</v>
      </c>
      <c r="V10" s="23"/>
      <c r="W10" s="22"/>
      <c r="X10" s="22">
        <f t="shared" si="4"/>
        <v>34</v>
      </c>
      <c r="Y10" s="23"/>
      <c r="Z10" s="22"/>
      <c r="AA10" s="22">
        <f t="shared" si="5"/>
        <v>34</v>
      </c>
      <c r="AB10" s="23"/>
      <c r="AC10" s="22"/>
      <c r="AD10" s="22">
        <f t="shared" si="6"/>
        <v>34</v>
      </c>
      <c r="AE10" s="23"/>
      <c r="AF10" s="22"/>
      <c r="AG10" s="22">
        <f t="shared" si="7"/>
        <v>34</v>
      </c>
      <c r="AH10" s="23"/>
      <c r="AI10" s="22"/>
      <c r="AJ10" s="22">
        <f t="shared" si="8"/>
        <v>34</v>
      </c>
      <c r="AK10" s="23"/>
      <c r="AL10" s="22"/>
      <c r="AM10" s="22">
        <f t="shared" si="9"/>
        <v>34</v>
      </c>
      <c r="AN10" s="23"/>
      <c r="AO10" s="22"/>
      <c r="AP10" s="22">
        <f t="shared" si="10"/>
        <v>34</v>
      </c>
      <c r="AQ10" s="23"/>
      <c r="AR10" s="22"/>
      <c r="AS10" s="22">
        <f t="shared" si="11"/>
        <v>34</v>
      </c>
      <c r="AT10" s="23"/>
      <c r="AU10" s="22"/>
      <c r="AV10" s="22">
        <f t="shared" si="12"/>
        <v>34</v>
      </c>
      <c r="AW10" s="23"/>
      <c r="AX10" s="22"/>
      <c r="AY10" s="22">
        <f t="shared" si="13"/>
        <v>34</v>
      </c>
      <c r="AZ10" s="23"/>
      <c r="BA10" s="22"/>
      <c r="BB10" s="22">
        <f t="shared" si="14"/>
        <v>34</v>
      </c>
      <c r="BC10" s="23"/>
      <c r="BD10" s="22"/>
      <c r="BE10" s="22">
        <f t="shared" si="15"/>
        <v>34</v>
      </c>
      <c r="BF10" s="23"/>
      <c r="BG10" s="22"/>
      <c r="BH10" s="22">
        <f t="shared" si="16"/>
        <v>34</v>
      </c>
      <c r="BI10" s="23"/>
      <c r="BJ10" s="22"/>
      <c r="BK10" s="22">
        <f t="shared" si="17"/>
        <v>34</v>
      </c>
      <c r="BL10" s="23"/>
      <c r="BM10" s="22"/>
      <c r="BN10" s="22">
        <f t="shared" si="18"/>
        <v>34</v>
      </c>
      <c r="BO10" s="23"/>
      <c r="BP10" s="24">
        <f>G11+G12+G13+G14+G15</f>
        <v>34</v>
      </c>
      <c r="BQ10" s="24">
        <f t="shared" si="20"/>
        <v>0</v>
      </c>
    </row>
    <row r="11">
      <c r="A11" s="1"/>
      <c r="B11" s="19"/>
      <c r="C11" s="19"/>
      <c r="D11" s="20" t="s">
        <v>44</v>
      </c>
      <c r="E11" s="20" t="s">
        <v>36</v>
      </c>
      <c r="F11" s="20" t="s">
        <v>37</v>
      </c>
      <c r="G11" s="20">
        <v>8.0</v>
      </c>
      <c r="H11" s="21">
        <v>2.0</v>
      </c>
      <c r="I11" s="21">
        <f t="shared" si="1"/>
        <v>6</v>
      </c>
      <c r="J11" s="23"/>
      <c r="K11" s="21">
        <v>2.0</v>
      </c>
      <c r="L11" s="21">
        <f t="shared" si="21"/>
        <v>4</v>
      </c>
      <c r="M11" s="23"/>
      <c r="N11" s="21">
        <v>2.0</v>
      </c>
      <c r="O11" s="22">
        <f t="shared" si="22"/>
        <v>2</v>
      </c>
      <c r="P11" s="23"/>
      <c r="Q11" s="21">
        <v>2.0</v>
      </c>
      <c r="R11" s="22">
        <f t="shared" ref="R11:R58" si="23">O11-Q11</f>
        <v>0</v>
      </c>
      <c r="S11" s="23"/>
      <c r="T11" s="22"/>
      <c r="U11" s="22">
        <f t="shared" si="3"/>
        <v>0</v>
      </c>
      <c r="V11" s="23"/>
      <c r="W11" s="22"/>
      <c r="X11" s="22">
        <f t="shared" si="4"/>
        <v>0</v>
      </c>
      <c r="Y11" s="23"/>
      <c r="Z11" s="22"/>
      <c r="AA11" s="22">
        <f t="shared" si="5"/>
        <v>0</v>
      </c>
      <c r="AB11" s="23"/>
      <c r="AC11" s="22"/>
      <c r="AD11" s="22">
        <f t="shared" si="6"/>
        <v>0</v>
      </c>
      <c r="AE11" s="23"/>
      <c r="AF11" s="22"/>
      <c r="AG11" s="22">
        <f t="shared" si="7"/>
        <v>0</v>
      </c>
      <c r="AH11" s="23"/>
      <c r="AI11" s="22"/>
      <c r="AJ11" s="22">
        <f t="shared" si="8"/>
        <v>0</v>
      </c>
      <c r="AK11" s="23"/>
      <c r="AL11" s="22"/>
      <c r="AM11" s="22">
        <f t="shared" si="9"/>
        <v>0</v>
      </c>
      <c r="AN11" s="23"/>
      <c r="AO11" s="22"/>
      <c r="AP11" s="22">
        <f t="shared" si="10"/>
        <v>0</v>
      </c>
      <c r="AQ11" s="23"/>
      <c r="AR11" s="22"/>
      <c r="AS11" s="22">
        <f t="shared" si="11"/>
        <v>0</v>
      </c>
      <c r="AT11" s="23"/>
      <c r="AU11" s="22"/>
      <c r="AV11" s="22">
        <f t="shared" si="12"/>
        <v>0</v>
      </c>
      <c r="AW11" s="23"/>
      <c r="AX11" s="22"/>
      <c r="AY11" s="22">
        <f t="shared" si="13"/>
        <v>0</v>
      </c>
      <c r="AZ11" s="23"/>
      <c r="BA11" s="22"/>
      <c r="BB11" s="22">
        <f t="shared" si="14"/>
        <v>0</v>
      </c>
      <c r="BC11" s="23"/>
      <c r="BD11" s="22"/>
      <c r="BE11" s="22">
        <f t="shared" si="15"/>
        <v>0</v>
      </c>
      <c r="BF11" s="23"/>
      <c r="BG11" s="22"/>
      <c r="BH11" s="22">
        <f t="shared" si="16"/>
        <v>0</v>
      </c>
      <c r="BI11" s="23"/>
      <c r="BJ11" s="22"/>
      <c r="BK11" s="22">
        <f t="shared" si="17"/>
        <v>0</v>
      </c>
      <c r="BL11" s="23"/>
      <c r="BM11" s="22"/>
      <c r="BN11" s="22">
        <f t="shared" si="18"/>
        <v>0</v>
      </c>
      <c r="BO11" s="23"/>
      <c r="BP11" s="24">
        <f t="shared" ref="BP11:BP58" si="24">H11+K11+N11+Q11+T11+W11+Z11+AC11+AF11+AI11+AL11+AO11+AR11+AU11+AX11+BA11+BD11+BG11+BJ11+BM11</f>
        <v>8</v>
      </c>
      <c r="BQ11" s="24">
        <f t="shared" si="20"/>
        <v>0</v>
      </c>
    </row>
    <row r="12">
      <c r="A12" s="1"/>
      <c r="B12" s="19"/>
      <c r="C12" s="19"/>
      <c r="D12" s="20" t="s">
        <v>45</v>
      </c>
      <c r="E12" s="20" t="s">
        <v>36</v>
      </c>
      <c r="F12" s="20" t="s">
        <v>37</v>
      </c>
      <c r="G12" s="20">
        <v>6.0</v>
      </c>
      <c r="H12" s="21">
        <v>2.0</v>
      </c>
      <c r="I12" s="22">
        <f t="shared" si="1"/>
        <v>4</v>
      </c>
      <c r="J12" s="23"/>
      <c r="K12" s="21">
        <v>2.0</v>
      </c>
      <c r="L12" s="22">
        <f t="shared" si="21"/>
        <v>2</v>
      </c>
      <c r="M12" s="23"/>
      <c r="N12" s="21">
        <v>2.0</v>
      </c>
      <c r="O12" s="22">
        <f t="shared" si="22"/>
        <v>0</v>
      </c>
      <c r="P12" s="23"/>
      <c r="Q12" s="22"/>
      <c r="R12" s="22">
        <f t="shared" si="23"/>
        <v>0</v>
      </c>
      <c r="S12" s="23"/>
      <c r="T12" s="22"/>
      <c r="U12" s="22">
        <f t="shared" si="3"/>
        <v>0</v>
      </c>
      <c r="V12" s="23"/>
      <c r="W12" s="22"/>
      <c r="X12" s="22">
        <f t="shared" si="4"/>
        <v>0</v>
      </c>
      <c r="Y12" s="23"/>
      <c r="Z12" s="22"/>
      <c r="AA12" s="22">
        <f t="shared" si="5"/>
        <v>0</v>
      </c>
      <c r="AB12" s="23"/>
      <c r="AC12" s="22"/>
      <c r="AD12" s="22">
        <f t="shared" si="6"/>
        <v>0</v>
      </c>
      <c r="AE12" s="23"/>
      <c r="AF12" s="22"/>
      <c r="AG12" s="22">
        <f t="shared" si="7"/>
        <v>0</v>
      </c>
      <c r="AH12" s="23"/>
      <c r="AI12" s="22"/>
      <c r="AJ12" s="22">
        <f t="shared" si="8"/>
        <v>0</v>
      </c>
      <c r="AK12" s="23"/>
      <c r="AL12" s="22"/>
      <c r="AM12" s="22">
        <f t="shared" si="9"/>
        <v>0</v>
      </c>
      <c r="AN12" s="23"/>
      <c r="AO12" s="22"/>
      <c r="AP12" s="22">
        <f t="shared" si="10"/>
        <v>0</v>
      </c>
      <c r="AQ12" s="23"/>
      <c r="AR12" s="22"/>
      <c r="AS12" s="22">
        <f t="shared" si="11"/>
        <v>0</v>
      </c>
      <c r="AT12" s="23"/>
      <c r="AU12" s="22"/>
      <c r="AV12" s="22">
        <f t="shared" si="12"/>
        <v>0</v>
      </c>
      <c r="AW12" s="23"/>
      <c r="AX12" s="22"/>
      <c r="AY12" s="22">
        <f t="shared" si="13"/>
        <v>0</v>
      </c>
      <c r="AZ12" s="23"/>
      <c r="BA12" s="22"/>
      <c r="BB12" s="22">
        <f t="shared" si="14"/>
        <v>0</v>
      </c>
      <c r="BC12" s="23"/>
      <c r="BD12" s="22"/>
      <c r="BE12" s="22">
        <f t="shared" si="15"/>
        <v>0</v>
      </c>
      <c r="BF12" s="23"/>
      <c r="BG12" s="22"/>
      <c r="BH12" s="22">
        <f t="shared" si="16"/>
        <v>0</v>
      </c>
      <c r="BI12" s="23"/>
      <c r="BJ12" s="22"/>
      <c r="BK12" s="22">
        <f t="shared" si="17"/>
        <v>0</v>
      </c>
      <c r="BL12" s="23"/>
      <c r="BM12" s="22"/>
      <c r="BN12" s="22">
        <f t="shared" si="18"/>
        <v>0</v>
      </c>
      <c r="BO12" s="23"/>
      <c r="BP12" s="24">
        <f t="shared" si="24"/>
        <v>6</v>
      </c>
      <c r="BQ12" s="24">
        <f t="shared" si="20"/>
        <v>0</v>
      </c>
    </row>
    <row r="13">
      <c r="A13" s="1"/>
      <c r="B13" s="19"/>
      <c r="C13" s="19"/>
      <c r="D13" s="20" t="s">
        <v>46</v>
      </c>
      <c r="E13" s="20" t="s">
        <v>47</v>
      </c>
      <c r="F13" s="20" t="s">
        <v>37</v>
      </c>
      <c r="G13" s="20">
        <v>10.0</v>
      </c>
      <c r="H13" s="21">
        <v>2.0</v>
      </c>
      <c r="I13" s="22">
        <f t="shared" si="1"/>
        <v>8</v>
      </c>
      <c r="J13" s="23"/>
      <c r="K13" s="21">
        <v>2.0</v>
      </c>
      <c r="L13" s="22">
        <f t="shared" si="21"/>
        <v>6</v>
      </c>
      <c r="M13" s="23"/>
      <c r="N13" s="21">
        <v>2.0</v>
      </c>
      <c r="O13" s="22">
        <f t="shared" si="22"/>
        <v>4</v>
      </c>
      <c r="P13" s="23"/>
      <c r="Q13" s="21">
        <v>2.0</v>
      </c>
      <c r="R13" s="22">
        <f t="shared" si="23"/>
        <v>2</v>
      </c>
      <c r="S13" s="23"/>
      <c r="T13" s="21">
        <v>2.0</v>
      </c>
      <c r="U13" s="22">
        <f t="shared" si="3"/>
        <v>0</v>
      </c>
      <c r="V13" s="23"/>
      <c r="W13" s="22"/>
      <c r="X13" s="22">
        <f t="shared" si="4"/>
        <v>0</v>
      </c>
      <c r="Y13" s="23"/>
      <c r="Z13" s="22"/>
      <c r="AA13" s="22">
        <f t="shared" si="5"/>
        <v>0</v>
      </c>
      <c r="AB13" s="23"/>
      <c r="AC13" s="22"/>
      <c r="AD13" s="22">
        <f t="shared" si="6"/>
        <v>0</v>
      </c>
      <c r="AE13" s="23"/>
      <c r="AF13" s="22"/>
      <c r="AG13" s="22">
        <f t="shared" si="7"/>
        <v>0</v>
      </c>
      <c r="AH13" s="23"/>
      <c r="AI13" s="22"/>
      <c r="AJ13" s="22">
        <f t="shared" si="8"/>
        <v>0</v>
      </c>
      <c r="AK13" s="23"/>
      <c r="AL13" s="22"/>
      <c r="AM13" s="22">
        <f t="shared" si="9"/>
        <v>0</v>
      </c>
      <c r="AN13" s="23"/>
      <c r="AO13" s="22"/>
      <c r="AP13" s="22">
        <f t="shared" si="10"/>
        <v>0</v>
      </c>
      <c r="AQ13" s="23"/>
      <c r="AR13" s="22"/>
      <c r="AS13" s="22">
        <f t="shared" si="11"/>
        <v>0</v>
      </c>
      <c r="AT13" s="23"/>
      <c r="AU13" s="22"/>
      <c r="AV13" s="22">
        <f t="shared" si="12"/>
        <v>0</v>
      </c>
      <c r="AW13" s="23"/>
      <c r="AX13" s="22"/>
      <c r="AY13" s="22">
        <f t="shared" si="13"/>
        <v>0</v>
      </c>
      <c r="AZ13" s="23"/>
      <c r="BA13" s="22"/>
      <c r="BB13" s="22">
        <f t="shared" si="14"/>
        <v>0</v>
      </c>
      <c r="BC13" s="23"/>
      <c r="BD13" s="22"/>
      <c r="BE13" s="22">
        <f t="shared" si="15"/>
        <v>0</v>
      </c>
      <c r="BF13" s="23"/>
      <c r="BG13" s="22"/>
      <c r="BH13" s="22">
        <f t="shared" si="16"/>
        <v>0</v>
      </c>
      <c r="BI13" s="23"/>
      <c r="BJ13" s="22"/>
      <c r="BK13" s="22">
        <f t="shared" si="17"/>
        <v>0</v>
      </c>
      <c r="BL13" s="23"/>
      <c r="BM13" s="22"/>
      <c r="BN13" s="22">
        <f t="shared" si="18"/>
        <v>0</v>
      </c>
      <c r="BO13" s="23"/>
      <c r="BP13" s="24">
        <f t="shared" si="24"/>
        <v>10</v>
      </c>
      <c r="BQ13" s="24">
        <f t="shared" si="20"/>
        <v>0</v>
      </c>
    </row>
    <row r="14">
      <c r="A14" s="1"/>
      <c r="B14" s="19"/>
      <c r="C14" s="19"/>
      <c r="D14" s="26" t="s">
        <v>48</v>
      </c>
      <c r="E14" s="20" t="s">
        <v>36</v>
      </c>
      <c r="F14" s="20" t="s">
        <v>37</v>
      </c>
      <c r="G14" s="27">
        <v>6.0</v>
      </c>
      <c r="H14" s="28">
        <v>2.0</v>
      </c>
      <c r="I14" s="29">
        <f t="shared" si="1"/>
        <v>4</v>
      </c>
      <c r="J14" s="30"/>
      <c r="K14" s="28">
        <v>2.0</v>
      </c>
      <c r="L14" s="31">
        <f t="shared" si="21"/>
        <v>2</v>
      </c>
      <c r="M14" s="30"/>
      <c r="N14" s="28">
        <v>2.0</v>
      </c>
      <c r="O14" s="29">
        <f t="shared" si="22"/>
        <v>0</v>
      </c>
      <c r="P14" s="30"/>
      <c r="Q14" s="32"/>
      <c r="R14" s="29">
        <f t="shared" si="23"/>
        <v>0</v>
      </c>
      <c r="S14" s="30"/>
      <c r="T14" s="32"/>
      <c r="U14" s="29">
        <f t="shared" si="3"/>
        <v>0</v>
      </c>
      <c r="V14" s="30"/>
      <c r="W14" s="32"/>
      <c r="X14" s="29">
        <f t="shared" si="4"/>
        <v>0</v>
      </c>
      <c r="Y14" s="30"/>
      <c r="Z14" s="32"/>
      <c r="AA14" s="29">
        <f t="shared" si="5"/>
        <v>0</v>
      </c>
      <c r="AB14" s="30"/>
      <c r="AC14" s="32"/>
      <c r="AD14" s="29">
        <f t="shared" si="6"/>
        <v>0</v>
      </c>
      <c r="AE14" s="30"/>
      <c r="AF14" s="32"/>
      <c r="AG14" s="29">
        <f t="shared" si="7"/>
        <v>0</v>
      </c>
      <c r="AH14" s="30"/>
      <c r="AI14" s="32"/>
      <c r="AJ14" s="29">
        <f t="shared" si="8"/>
        <v>0</v>
      </c>
      <c r="AK14" s="30"/>
      <c r="AL14" s="32"/>
      <c r="AM14" s="29">
        <f t="shared" si="9"/>
        <v>0</v>
      </c>
      <c r="AN14" s="30"/>
      <c r="AO14" s="32"/>
      <c r="AP14" s="29">
        <f t="shared" si="10"/>
        <v>0</v>
      </c>
      <c r="AQ14" s="30"/>
      <c r="AR14" s="32"/>
      <c r="AS14" s="29">
        <f t="shared" si="11"/>
        <v>0</v>
      </c>
      <c r="AT14" s="30"/>
      <c r="AU14" s="32"/>
      <c r="AV14" s="29">
        <f t="shared" si="12"/>
        <v>0</v>
      </c>
      <c r="AW14" s="30"/>
      <c r="AX14" s="32"/>
      <c r="AY14" s="29">
        <f t="shared" si="13"/>
        <v>0</v>
      </c>
      <c r="AZ14" s="30"/>
      <c r="BA14" s="32"/>
      <c r="BB14" s="29">
        <f t="shared" si="14"/>
        <v>0</v>
      </c>
      <c r="BC14" s="30"/>
      <c r="BD14" s="32"/>
      <c r="BE14" s="29">
        <f t="shared" si="15"/>
        <v>0</v>
      </c>
      <c r="BF14" s="30"/>
      <c r="BG14" s="32"/>
      <c r="BH14" s="29">
        <f t="shared" si="16"/>
        <v>0</v>
      </c>
      <c r="BI14" s="30"/>
      <c r="BJ14" s="32"/>
      <c r="BK14" s="29">
        <f t="shared" si="17"/>
        <v>0</v>
      </c>
      <c r="BL14" s="30"/>
      <c r="BM14" s="32"/>
      <c r="BN14" s="29">
        <f t="shared" si="18"/>
        <v>0</v>
      </c>
      <c r="BO14" s="30"/>
      <c r="BP14" s="24">
        <f t="shared" si="24"/>
        <v>6</v>
      </c>
      <c r="BQ14" s="24">
        <f t="shared" si="20"/>
        <v>0</v>
      </c>
    </row>
    <row r="15">
      <c r="A15" s="1"/>
      <c r="B15" s="19"/>
      <c r="C15" s="19"/>
      <c r="D15" s="26" t="s">
        <v>49</v>
      </c>
      <c r="E15" s="20" t="s">
        <v>40</v>
      </c>
      <c r="F15" s="20" t="s">
        <v>37</v>
      </c>
      <c r="G15" s="27">
        <v>4.0</v>
      </c>
      <c r="H15" s="28">
        <v>2.0</v>
      </c>
      <c r="I15" s="29">
        <f t="shared" si="1"/>
        <v>2</v>
      </c>
      <c r="J15" s="30"/>
      <c r="K15" s="28">
        <v>2.0</v>
      </c>
      <c r="L15" s="29">
        <f t="shared" si="21"/>
        <v>0</v>
      </c>
      <c r="M15" s="30"/>
      <c r="N15" s="33"/>
      <c r="O15" s="29">
        <f t="shared" si="22"/>
        <v>0</v>
      </c>
      <c r="P15" s="30"/>
      <c r="Q15" s="33"/>
      <c r="R15" s="29">
        <f t="shared" si="23"/>
        <v>0</v>
      </c>
      <c r="S15" s="30"/>
      <c r="T15" s="32"/>
      <c r="U15" s="29">
        <f t="shared" si="3"/>
        <v>0</v>
      </c>
      <c r="V15" s="30"/>
      <c r="W15" s="32"/>
      <c r="X15" s="29">
        <f t="shared" si="4"/>
        <v>0</v>
      </c>
      <c r="Y15" s="30"/>
      <c r="Z15" s="32"/>
      <c r="AA15" s="29">
        <f t="shared" si="5"/>
        <v>0</v>
      </c>
      <c r="AB15" s="30"/>
      <c r="AC15" s="32"/>
      <c r="AD15" s="29">
        <f t="shared" si="6"/>
        <v>0</v>
      </c>
      <c r="AE15" s="30"/>
      <c r="AF15" s="32"/>
      <c r="AG15" s="29">
        <f t="shared" si="7"/>
        <v>0</v>
      </c>
      <c r="AH15" s="30"/>
      <c r="AI15" s="32"/>
      <c r="AJ15" s="29">
        <f t="shared" si="8"/>
        <v>0</v>
      </c>
      <c r="AK15" s="30"/>
      <c r="AL15" s="32"/>
      <c r="AM15" s="29">
        <f t="shared" si="9"/>
        <v>0</v>
      </c>
      <c r="AN15" s="30"/>
      <c r="AO15" s="32"/>
      <c r="AP15" s="29">
        <f t="shared" si="10"/>
        <v>0</v>
      </c>
      <c r="AQ15" s="30"/>
      <c r="AR15" s="32"/>
      <c r="AS15" s="29">
        <f t="shared" si="11"/>
        <v>0</v>
      </c>
      <c r="AT15" s="30"/>
      <c r="AU15" s="32"/>
      <c r="AV15" s="29">
        <f t="shared" si="12"/>
        <v>0</v>
      </c>
      <c r="AW15" s="30"/>
      <c r="AX15" s="32"/>
      <c r="AY15" s="29">
        <f t="shared" si="13"/>
        <v>0</v>
      </c>
      <c r="AZ15" s="30"/>
      <c r="BA15" s="32"/>
      <c r="BB15" s="29">
        <f t="shared" si="14"/>
        <v>0</v>
      </c>
      <c r="BC15" s="30"/>
      <c r="BD15" s="32"/>
      <c r="BE15" s="29">
        <f t="shared" si="15"/>
        <v>0</v>
      </c>
      <c r="BF15" s="30"/>
      <c r="BG15" s="32"/>
      <c r="BH15" s="29">
        <f t="shared" si="16"/>
        <v>0</v>
      </c>
      <c r="BI15" s="30"/>
      <c r="BJ15" s="32"/>
      <c r="BK15" s="29">
        <f t="shared" si="17"/>
        <v>0</v>
      </c>
      <c r="BL15" s="30"/>
      <c r="BM15" s="32"/>
      <c r="BN15" s="29">
        <f t="shared" si="18"/>
        <v>0</v>
      </c>
      <c r="BO15" s="30"/>
      <c r="BP15" s="24">
        <f t="shared" si="24"/>
        <v>4</v>
      </c>
      <c r="BQ15" s="24">
        <f t="shared" si="20"/>
        <v>0</v>
      </c>
    </row>
    <row r="16">
      <c r="A16" s="12"/>
      <c r="B16" s="13" t="s">
        <v>50</v>
      </c>
      <c r="C16" s="13" t="s">
        <v>51</v>
      </c>
      <c r="D16" s="34" t="s">
        <v>52</v>
      </c>
      <c r="E16" s="35"/>
      <c r="F16" s="35"/>
      <c r="G16" s="14">
        <v>38.0</v>
      </c>
      <c r="H16" s="17"/>
      <c r="I16" s="17">
        <f t="shared" si="1"/>
        <v>38</v>
      </c>
      <c r="J16" s="16"/>
      <c r="K16" s="17"/>
      <c r="L16" s="17">
        <f t="shared" si="21"/>
        <v>38</v>
      </c>
      <c r="M16" s="16"/>
      <c r="N16" s="17"/>
      <c r="O16" s="17">
        <f t="shared" si="22"/>
        <v>38</v>
      </c>
      <c r="P16" s="16"/>
      <c r="Q16" s="17"/>
      <c r="R16" s="17">
        <f t="shared" si="23"/>
        <v>38</v>
      </c>
      <c r="S16" s="16"/>
      <c r="T16" s="17"/>
      <c r="U16" s="17">
        <f t="shared" si="3"/>
        <v>38</v>
      </c>
      <c r="V16" s="16"/>
      <c r="W16" s="17"/>
      <c r="X16" s="17">
        <f t="shared" si="4"/>
        <v>38</v>
      </c>
      <c r="Y16" s="16"/>
      <c r="Z16" s="17"/>
      <c r="AA16" s="17">
        <f t="shared" si="5"/>
        <v>38</v>
      </c>
      <c r="AB16" s="16"/>
      <c r="AC16" s="17"/>
      <c r="AD16" s="17">
        <f t="shared" si="6"/>
        <v>38</v>
      </c>
      <c r="AE16" s="16"/>
      <c r="AF16" s="17"/>
      <c r="AG16" s="17">
        <f t="shared" si="7"/>
        <v>38</v>
      </c>
      <c r="AH16" s="16"/>
      <c r="AI16" s="17"/>
      <c r="AJ16" s="17">
        <f t="shared" si="8"/>
        <v>38</v>
      </c>
      <c r="AK16" s="16"/>
      <c r="AL16" s="17"/>
      <c r="AM16" s="17">
        <f t="shared" si="9"/>
        <v>38</v>
      </c>
      <c r="AN16" s="16"/>
      <c r="AO16" s="17"/>
      <c r="AP16" s="17">
        <f t="shared" si="10"/>
        <v>38</v>
      </c>
      <c r="AQ16" s="16"/>
      <c r="AR16" s="17"/>
      <c r="AS16" s="17">
        <f t="shared" si="11"/>
        <v>38</v>
      </c>
      <c r="AT16" s="16"/>
      <c r="AU16" s="17"/>
      <c r="AV16" s="17">
        <f t="shared" si="12"/>
        <v>38</v>
      </c>
      <c r="AW16" s="16"/>
      <c r="AX16" s="17"/>
      <c r="AY16" s="17">
        <f t="shared" si="13"/>
        <v>38</v>
      </c>
      <c r="AZ16" s="16"/>
      <c r="BA16" s="17"/>
      <c r="BB16" s="17">
        <f t="shared" si="14"/>
        <v>38</v>
      </c>
      <c r="BC16" s="16"/>
      <c r="BD16" s="17"/>
      <c r="BE16" s="17">
        <f t="shared" si="15"/>
        <v>38</v>
      </c>
      <c r="BF16" s="16"/>
      <c r="BG16" s="17"/>
      <c r="BH16" s="17">
        <f t="shared" si="16"/>
        <v>38</v>
      </c>
      <c r="BI16" s="16"/>
      <c r="BJ16" s="17"/>
      <c r="BK16" s="17">
        <f t="shared" si="17"/>
        <v>38</v>
      </c>
      <c r="BL16" s="16"/>
      <c r="BM16" s="17"/>
      <c r="BN16" s="17">
        <f t="shared" si="18"/>
        <v>38</v>
      </c>
      <c r="BO16" s="16"/>
      <c r="BP16" s="18">
        <f t="shared" si="24"/>
        <v>0</v>
      </c>
      <c r="BQ16" s="18">
        <f t="shared" si="20"/>
        <v>38</v>
      </c>
    </row>
    <row r="17">
      <c r="A17" s="1"/>
      <c r="B17" s="19"/>
      <c r="C17" s="19"/>
      <c r="D17" s="20" t="s">
        <v>53</v>
      </c>
      <c r="E17" s="20" t="s">
        <v>54</v>
      </c>
      <c r="F17" s="20" t="s">
        <v>55</v>
      </c>
      <c r="G17" s="20">
        <v>6.0</v>
      </c>
      <c r="H17" s="21">
        <v>2.0</v>
      </c>
      <c r="I17" s="22">
        <f t="shared" si="1"/>
        <v>4</v>
      </c>
      <c r="J17" s="23"/>
      <c r="K17" s="21">
        <v>2.0</v>
      </c>
      <c r="L17" s="22">
        <f t="shared" si="21"/>
        <v>2</v>
      </c>
      <c r="M17" s="23"/>
      <c r="N17" s="21">
        <v>2.0</v>
      </c>
      <c r="O17" s="22">
        <f t="shared" si="22"/>
        <v>0</v>
      </c>
      <c r="P17" s="23"/>
      <c r="Q17" s="22"/>
      <c r="R17" s="22">
        <f t="shared" si="23"/>
        <v>0</v>
      </c>
      <c r="S17" s="23"/>
      <c r="T17" s="22"/>
      <c r="U17" s="22">
        <f t="shared" si="3"/>
        <v>0</v>
      </c>
      <c r="V17" s="23"/>
      <c r="W17" s="22"/>
      <c r="X17" s="22">
        <f t="shared" si="4"/>
        <v>0</v>
      </c>
      <c r="Y17" s="23"/>
      <c r="Z17" s="22"/>
      <c r="AA17" s="22">
        <f t="shared" si="5"/>
        <v>0</v>
      </c>
      <c r="AB17" s="23"/>
      <c r="AC17" s="22"/>
      <c r="AD17" s="22">
        <f t="shared" si="6"/>
        <v>0</v>
      </c>
      <c r="AE17" s="23"/>
      <c r="AF17" s="22"/>
      <c r="AG17" s="22">
        <f t="shared" si="7"/>
        <v>0</v>
      </c>
      <c r="AH17" s="23"/>
      <c r="AI17" s="22"/>
      <c r="AJ17" s="22">
        <f t="shared" si="8"/>
        <v>0</v>
      </c>
      <c r="AK17" s="23"/>
      <c r="AL17" s="22"/>
      <c r="AM17" s="22">
        <f t="shared" si="9"/>
        <v>0</v>
      </c>
      <c r="AN17" s="23"/>
      <c r="AO17" s="22"/>
      <c r="AP17" s="22">
        <f t="shared" si="10"/>
        <v>0</v>
      </c>
      <c r="AQ17" s="23"/>
      <c r="AR17" s="22"/>
      <c r="AS17" s="22">
        <f t="shared" si="11"/>
        <v>0</v>
      </c>
      <c r="AT17" s="23"/>
      <c r="AU17" s="22"/>
      <c r="AV17" s="22">
        <f t="shared" si="12"/>
        <v>0</v>
      </c>
      <c r="AW17" s="23"/>
      <c r="AX17" s="22"/>
      <c r="AY17" s="22">
        <f t="shared" si="13"/>
        <v>0</v>
      </c>
      <c r="AZ17" s="23"/>
      <c r="BA17" s="22"/>
      <c r="BB17" s="22">
        <f t="shared" si="14"/>
        <v>0</v>
      </c>
      <c r="BC17" s="23"/>
      <c r="BD17" s="22"/>
      <c r="BE17" s="22">
        <f t="shared" si="15"/>
        <v>0</v>
      </c>
      <c r="BF17" s="23"/>
      <c r="BG17" s="22"/>
      <c r="BH17" s="22">
        <f t="shared" si="16"/>
        <v>0</v>
      </c>
      <c r="BI17" s="23"/>
      <c r="BJ17" s="22"/>
      <c r="BK17" s="22">
        <f t="shared" si="17"/>
        <v>0</v>
      </c>
      <c r="BL17" s="23"/>
      <c r="BM17" s="22"/>
      <c r="BN17" s="22">
        <f t="shared" si="18"/>
        <v>0</v>
      </c>
      <c r="BO17" s="23"/>
      <c r="BP17" s="24">
        <f t="shared" si="24"/>
        <v>6</v>
      </c>
      <c r="BQ17" s="24">
        <f t="shared" si="20"/>
        <v>0</v>
      </c>
    </row>
    <row r="18">
      <c r="A18" s="1"/>
      <c r="B18" s="19"/>
      <c r="C18" s="19"/>
      <c r="D18" s="20" t="s">
        <v>56</v>
      </c>
      <c r="E18" s="20" t="s">
        <v>54</v>
      </c>
      <c r="F18" s="20" t="s">
        <v>55</v>
      </c>
      <c r="G18" s="20">
        <v>8.0</v>
      </c>
      <c r="H18" s="21">
        <v>2.0</v>
      </c>
      <c r="I18" s="22">
        <f t="shared" si="1"/>
        <v>6</v>
      </c>
      <c r="J18" s="23"/>
      <c r="K18" s="21">
        <v>2.0</v>
      </c>
      <c r="L18" s="22">
        <f t="shared" si="21"/>
        <v>4</v>
      </c>
      <c r="M18" s="23"/>
      <c r="N18" s="21">
        <v>2.0</v>
      </c>
      <c r="O18" s="22">
        <f t="shared" si="22"/>
        <v>2</v>
      </c>
      <c r="P18" s="23"/>
      <c r="Q18" s="21">
        <v>2.0</v>
      </c>
      <c r="R18" s="22">
        <f t="shared" si="23"/>
        <v>0</v>
      </c>
      <c r="S18" s="23"/>
      <c r="T18" s="22"/>
      <c r="U18" s="22">
        <f t="shared" si="3"/>
        <v>0</v>
      </c>
      <c r="V18" s="23"/>
      <c r="W18" s="22"/>
      <c r="X18" s="22">
        <f t="shared" si="4"/>
        <v>0</v>
      </c>
      <c r="Y18" s="23"/>
      <c r="Z18" s="22"/>
      <c r="AA18" s="22">
        <f t="shared" si="5"/>
        <v>0</v>
      </c>
      <c r="AB18" s="23"/>
      <c r="AC18" s="22"/>
      <c r="AD18" s="22">
        <f t="shared" si="6"/>
        <v>0</v>
      </c>
      <c r="AE18" s="23"/>
      <c r="AF18" s="22"/>
      <c r="AG18" s="22">
        <f t="shared" si="7"/>
        <v>0</v>
      </c>
      <c r="AH18" s="23"/>
      <c r="AI18" s="22"/>
      <c r="AJ18" s="22">
        <f t="shared" si="8"/>
        <v>0</v>
      </c>
      <c r="AK18" s="23"/>
      <c r="AL18" s="22"/>
      <c r="AM18" s="22">
        <f t="shared" si="9"/>
        <v>0</v>
      </c>
      <c r="AN18" s="23"/>
      <c r="AO18" s="22"/>
      <c r="AP18" s="22">
        <f t="shared" si="10"/>
        <v>0</v>
      </c>
      <c r="AQ18" s="23"/>
      <c r="AR18" s="22"/>
      <c r="AS18" s="22">
        <f t="shared" si="11"/>
        <v>0</v>
      </c>
      <c r="AT18" s="23"/>
      <c r="AU18" s="22"/>
      <c r="AV18" s="22">
        <f t="shared" si="12"/>
        <v>0</v>
      </c>
      <c r="AW18" s="23"/>
      <c r="AX18" s="22"/>
      <c r="AY18" s="22">
        <f t="shared" si="13"/>
        <v>0</v>
      </c>
      <c r="AZ18" s="23"/>
      <c r="BA18" s="22"/>
      <c r="BB18" s="22">
        <f t="shared" si="14"/>
        <v>0</v>
      </c>
      <c r="BC18" s="23"/>
      <c r="BD18" s="22"/>
      <c r="BE18" s="22">
        <f t="shared" si="15"/>
        <v>0</v>
      </c>
      <c r="BF18" s="23"/>
      <c r="BG18" s="22"/>
      <c r="BH18" s="22">
        <f t="shared" si="16"/>
        <v>0</v>
      </c>
      <c r="BI18" s="23"/>
      <c r="BJ18" s="22"/>
      <c r="BK18" s="22">
        <f t="shared" si="17"/>
        <v>0</v>
      </c>
      <c r="BL18" s="23"/>
      <c r="BM18" s="22"/>
      <c r="BN18" s="22">
        <f t="shared" si="18"/>
        <v>0</v>
      </c>
      <c r="BO18" s="23"/>
      <c r="BP18" s="24">
        <f t="shared" si="24"/>
        <v>8</v>
      </c>
      <c r="BQ18" s="24">
        <f t="shared" si="20"/>
        <v>0</v>
      </c>
    </row>
    <row r="19">
      <c r="A19" s="1"/>
      <c r="B19" s="19"/>
      <c r="C19" s="19"/>
      <c r="D19" s="20" t="s">
        <v>57</v>
      </c>
      <c r="E19" s="20" t="s">
        <v>58</v>
      </c>
      <c r="F19" s="20" t="s">
        <v>55</v>
      </c>
      <c r="G19" s="20">
        <v>10.0</v>
      </c>
      <c r="H19" s="21">
        <v>2.0</v>
      </c>
      <c r="I19" s="22">
        <f t="shared" si="1"/>
        <v>8</v>
      </c>
      <c r="J19" s="23"/>
      <c r="K19" s="21">
        <v>2.0</v>
      </c>
      <c r="L19" s="22">
        <f t="shared" si="21"/>
        <v>6</v>
      </c>
      <c r="M19" s="23"/>
      <c r="N19" s="21">
        <v>2.0</v>
      </c>
      <c r="O19" s="22">
        <f t="shared" si="22"/>
        <v>4</v>
      </c>
      <c r="P19" s="23"/>
      <c r="Q19" s="21">
        <v>2.0</v>
      </c>
      <c r="R19" s="22">
        <f t="shared" si="23"/>
        <v>2</v>
      </c>
      <c r="S19" s="23"/>
      <c r="T19" s="21">
        <v>2.0</v>
      </c>
      <c r="U19" s="22">
        <f t="shared" si="3"/>
        <v>0</v>
      </c>
      <c r="V19" s="23"/>
      <c r="W19" s="22"/>
      <c r="X19" s="22">
        <f t="shared" si="4"/>
        <v>0</v>
      </c>
      <c r="Y19" s="23"/>
      <c r="Z19" s="22"/>
      <c r="AA19" s="22">
        <f t="shared" si="5"/>
        <v>0</v>
      </c>
      <c r="AB19" s="23"/>
      <c r="AC19" s="22"/>
      <c r="AD19" s="22">
        <f t="shared" si="6"/>
        <v>0</v>
      </c>
      <c r="AE19" s="23"/>
      <c r="AF19" s="22"/>
      <c r="AG19" s="22">
        <f t="shared" si="7"/>
        <v>0</v>
      </c>
      <c r="AH19" s="23"/>
      <c r="AI19" s="22"/>
      <c r="AJ19" s="22">
        <f t="shared" si="8"/>
        <v>0</v>
      </c>
      <c r="AK19" s="23"/>
      <c r="AL19" s="22"/>
      <c r="AM19" s="22">
        <f t="shared" si="9"/>
        <v>0</v>
      </c>
      <c r="AN19" s="23"/>
      <c r="AO19" s="22"/>
      <c r="AP19" s="22">
        <f t="shared" si="10"/>
        <v>0</v>
      </c>
      <c r="AQ19" s="23"/>
      <c r="AR19" s="22"/>
      <c r="AS19" s="22">
        <f t="shared" si="11"/>
        <v>0</v>
      </c>
      <c r="AT19" s="23"/>
      <c r="AU19" s="22"/>
      <c r="AV19" s="22">
        <f t="shared" si="12"/>
        <v>0</v>
      </c>
      <c r="AW19" s="23"/>
      <c r="AX19" s="22"/>
      <c r="AY19" s="22">
        <f t="shared" si="13"/>
        <v>0</v>
      </c>
      <c r="AZ19" s="23"/>
      <c r="BA19" s="22"/>
      <c r="BB19" s="22">
        <f t="shared" si="14"/>
        <v>0</v>
      </c>
      <c r="BC19" s="23"/>
      <c r="BD19" s="22"/>
      <c r="BE19" s="22">
        <f t="shared" si="15"/>
        <v>0</v>
      </c>
      <c r="BF19" s="23"/>
      <c r="BG19" s="22"/>
      <c r="BH19" s="22">
        <f t="shared" si="16"/>
        <v>0</v>
      </c>
      <c r="BI19" s="23"/>
      <c r="BJ19" s="22"/>
      <c r="BK19" s="22">
        <f t="shared" si="17"/>
        <v>0</v>
      </c>
      <c r="BL19" s="23"/>
      <c r="BM19" s="22"/>
      <c r="BN19" s="22">
        <f t="shared" si="18"/>
        <v>0</v>
      </c>
      <c r="BO19" s="23"/>
      <c r="BP19" s="24">
        <f t="shared" si="24"/>
        <v>10</v>
      </c>
      <c r="BQ19" s="24">
        <f t="shared" si="20"/>
        <v>0</v>
      </c>
    </row>
    <row r="20">
      <c r="A20" s="1"/>
      <c r="B20" s="19"/>
      <c r="C20" s="19"/>
      <c r="D20" s="20" t="s">
        <v>59</v>
      </c>
      <c r="E20" s="20" t="s">
        <v>58</v>
      </c>
      <c r="F20" s="20" t="s">
        <v>55</v>
      </c>
      <c r="G20" s="27">
        <v>6.0</v>
      </c>
      <c r="H20" s="28">
        <v>2.0</v>
      </c>
      <c r="I20" s="31">
        <f t="shared" si="1"/>
        <v>4</v>
      </c>
      <c r="J20" s="30"/>
      <c r="K20" s="28">
        <v>2.0</v>
      </c>
      <c r="L20" s="31">
        <f t="shared" si="21"/>
        <v>2</v>
      </c>
      <c r="M20" s="30"/>
      <c r="N20" s="28">
        <v>2.0</v>
      </c>
      <c r="O20" s="31">
        <f t="shared" si="22"/>
        <v>0</v>
      </c>
      <c r="P20" s="30"/>
      <c r="Q20" s="32"/>
      <c r="R20" s="29">
        <f t="shared" si="23"/>
        <v>0</v>
      </c>
      <c r="S20" s="30"/>
      <c r="T20" s="32"/>
      <c r="U20" s="29">
        <f t="shared" si="3"/>
        <v>0</v>
      </c>
      <c r="V20" s="30"/>
      <c r="W20" s="32"/>
      <c r="X20" s="29">
        <f t="shared" si="4"/>
        <v>0</v>
      </c>
      <c r="Y20" s="30"/>
      <c r="Z20" s="32"/>
      <c r="AA20" s="29">
        <f t="shared" si="5"/>
        <v>0</v>
      </c>
      <c r="AB20" s="30"/>
      <c r="AC20" s="32"/>
      <c r="AD20" s="29">
        <f t="shared" si="6"/>
        <v>0</v>
      </c>
      <c r="AE20" s="30"/>
      <c r="AF20" s="32"/>
      <c r="AG20" s="29">
        <f t="shared" si="7"/>
        <v>0</v>
      </c>
      <c r="AH20" s="30"/>
      <c r="AI20" s="32"/>
      <c r="AJ20" s="29">
        <f t="shared" si="8"/>
        <v>0</v>
      </c>
      <c r="AK20" s="30"/>
      <c r="AL20" s="32"/>
      <c r="AM20" s="29">
        <f t="shared" si="9"/>
        <v>0</v>
      </c>
      <c r="AN20" s="30"/>
      <c r="AO20" s="32"/>
      <c r="AP20" s="29">
        <f t="shared" si="10"/>
        <v>0</v>
      </c>
      <c r="AQ20" s="30"/>
      <c r="AR20" s="32"/>
      <c r="AS20" s="29">
        <f t="shared" si="11"/>
        <v>0</v>
      </c>
      <c r="AT20" s="30"/>
      <c r="AU20" s="32"/>
      <c r="AV20" s="29">
        <f t="shared" si="12"/>
        <v>0</v>
      </c>
      <c r="AW20" s="30"/>
      <c r="AX20" s="32"/>
      <c r="AY20" s="29">
        <f t="shared" si="13"/>
        <v>0</v>
      </c>
      <c r="AZ20" s="30"/>
      <c r="BA20" s="32"/>
      <c r="BB20" s="29">
        <f t="shared" si="14"/>
        <v>0</v>
      </c>
      <c r="BC20" s="30"/>
      <c r="BD20" s="32"/>
      <c r="BE20" s="29">
        <f t="shared" si="15"/>
        <v>0</v>
      </c>
      <c r="BF20" s="30"/>
      <c r="BG20" s="32"/>
      <c r="BH20" s="29">
        <f t="shared" si="16"/>
        <v>0</v>
      </c>
      <c r="BI20" s="30"/>
      <c r="BJ20" s="32"/>
      <c r="BK20" s="29">
        <f t="shared" si="17"/>
        <v>0</v>
      </c>
      <c r="BL20" s="30"/>
      <c r="BM20" s="32"/>
      <c r="BN20" s="29">
        <f t="shared" si="18"/>
        <v>0</v>
      </c>
      <c r="BO20" s="30"/>
      <c r="BP20" s="24">
        <f t="shared" si="24"/>
        <v>6</v>
      </c>
      <c r="BQ20" s="24">
        <f t="shared" si="20"/>
        <v>0</v>
      </c>
    </row>
    <row r="21">
      <c r="A21" s="1"/>
      <c r="B21" s="19"/>
      <c r="C21" s="19"/>
      <c r="D21" s="20" t="s">
        <v>60</v>
      </c>
      <c r="E21" s="20" t="s">
        <v>36</v>
      </c>
      <c r="F21" s="20" t="s">
        <v>55</v>
      </c>
      <c r="G21" s="27">
        <v>4.0</v>
      </c>
      <c r="H21" s="28">
        <v>2.0</v>
      </c>
      <c r="I21" s="31">
        <f t="shared" si="1"/>
        <v>2</v>
      </c>
      <c r="J21" s="30"/>
      <c r="K21" s="28">
        <v>2.0</v>
      </c>
      <c r="L21" s="31">
        <f t="shared" si="21"/>
        <v>0</v>
      </c>
      <c r="M21" s="30"/>
      <c r="N21" s="32"/>
      <c r="O21" s="31">
        <f t="shared" si="22"/>
        <v>0</v>
      </c>
      <c r="P21" s="30"/>
      <c r="Q21" s="32"/>
      <c r="R21" s="29">
        <f t="shared" si="23"/>
        <v>0</v>
      </c>
      <c r="S21" s="30"/>
      <c r="T21" s="32"/>
      <c r="U21" s="29">
        <f t="shared" si="3"/>
        <v>0</v>
      </c>
      <c r="V21" s="30"/>
      <c r="W21" s="32"/>
      <c r="X21" s="29">
        <f t="shared" si="4"/>
        <v>0</v>
      </c>
      <c r="Y21" s="30"/>
      <c r="Z21" s="32"/>
      <c r="AA21" s="29">
        <f t="shared" si="5"/>
        <v>0</v>
      </c>
      <c r="AB21" s="30"/>
      <c r="AC21" s="32"/>
      <c r="AD21" s="29">
        <f t="shared" si="6"/>
        <v>0</v>
      </c>
      <c r="AE21" s="30"/>
      <c r="AF21" s="32"/>
      <c r="AG21" s="29">
        <f t="shared" si="7"/>
        <v>0</v>
      </c>
      <c r="AH21" s="30"/>
      <c r="AI21" s="32"/>
      <c r="AJ21" s="29">
        <f t="shared" si="8"/>
        <v>0</v>
      </c>
      <c r="AK21" s="30"/>
      <c r="AL21" s="32"/>
      <c r="AM21" s="29">
        <f t="shared" si="9"/>
        <v>0</v>
      </c>
      <c r="AN21" s="30"/>
      <c r="AO21" s="32"/>
      <c r="AP21" s="29">
        <f t="shared" si="10"/>
        <v>0</v>
      </c>
      <c r="AQ21" s="30"/>
      <c r="AR21" s="32"/>
      <c r="AS21" s="29">
        <f t="shared" si="11"/>
        <v>0</v>
      </c>
      <c r="AT21" s="30"/>
      <c r="AU21" s="32"/>
      <c r="AV21" s="29">
        <f t="shared" si="12"/>
        <v>0</v>
      </c>
      <c r="AW21" s="30"/>
      <c r="AX21" s="32"/>
      <c r="AY21" s="29">
        <f t="shared" si="13"/>
        <v>0</v>
      </c>
      <c r="AZ21" s="30"/>
      <c r="BA21" s="32"/>
      <c r="BB21" s="29">
        <f t="shared" si="14"/>
        <v>0</v>
      </c>
      <c r="BC21" s="30"/>
      <c r="BD21" s="32"/>
      <c r="BE21" s="29">
        <f t="shared" si="15"/>
        <v>0</v>
      </c>
      <c r="BF21" s="30"/>
      <c r="BG21" s="32"/>
      <c r="BH21" s="29">
        <f t="shared" si="16"/>
        <v>0</v>
      </c>
      <c r="BI21" s="30"/>
      <c r="BJ21" s="32"/>
      <c r="BK21" s="29">
        <f t="shared" si="17"/>
        <v>0</v>
      </c>
      <c r="BL21" s="30"/>
      <c r="BM21" s="32"/>
      <c r="BN21" s="29">
        <f t="shared" si="18"/>
        <v>0</v>
      </c>
      <c r="BO21" s="30"/>
      <c r="BP21" s="24">
        <f t="shared" si="24"/>
        <v>4</v>
      </c>
      <c r="BQ21" s="24">
        <f t="shared" si="20"/>
        <v>0</v>
      </c>
    </row>
    <row r="22">
      <c r="A22" s="1"/>
      <c r="B22" s="19"/>
      <c r="C22" s="19"/>
      <c r="D22" s="20" t="s">
        <v>61</v>
      </c>
      <c r="E22" s="20" t="s">
        <v>36</v>
      </c>
      <c r="F22" s="20" t="s">
        <v>55</v>
      </c>
      <c r="G22" s="27">
        <v>4.0</v>
      </c>
      <c r="H22" s="28">
        <v>2.0</v>
      </c>
      <c r="I22" s="31">
        <f t="shared" si="1"/>
        <v>2</v>
      </c>
      <c r="J22" s="30"/>
      <c r="K22" s="28">
        <v>2.0</v>
      </c>
      <c r="L22" s="31">
        <f t="shared" si="21"/>
        <v>0</v>
      </c>
      <c r="M22" s="30"/>
      <c r="N22" s="32"/>
      <c r="O22" s="31">
        <f t="shared" si="22"/>
        <v>0</v>
      </c>
      <c r="P22" s="30"/>
      <c r="Q22" s="32"/>
      <c r="R22" s="29">
        <f t="shared" si="23"/>
        <v>0</v>
      </c>
      <c r="S22" s="30"/>
      <c r="T22" s="32"/>
      <c r="U22" s="29">
        <f t="shared" si="3"/>
        <v>0</v>
      </c>
      <c r="V22" s="30"/>
      <c r="W22" s="32"/>
      <c r="X22" s="29">
        <f t="shared" si="4"/>
        <v>0</v>
      </c>
      <c r="Y22" s="30"/>
      <c r="Z22" s="32"/>
      <c r="AA22" s="29">
        <f t="shared" si="5"/>
        <v>0</v>
      </c>
      <c r="AB22" s="30"/>
      <c r="AC22" s="32"/>
      <c r="AD22" s="29">
        <f t="shared" si="6"/>
        <v>0</v>
      </c>
      <c r="AE22" s="30"/>
      <c r="AF22" s="32"/>
      <c r="AG22" s="29">
        <f t="shared" si="7"/>
        <v>0</v>
      </c>
      <c r="AH22" s="30"/>
      <c r="AI22" s="32"/>
      <c r="AJ22" s="29">
        <f t="shared" si="8"/>
        <v>0</v>
      </c>
      <c r="AK22" s="30"/>
      <c r="AL22" s="32"/>
      <c r="AM22" s="29">
        <f t="shared" si="9"/>
        <v>0</v>
      </c>
      <c r="AN22" s="30"/>
      <c r="AO22" s="32"/>
      <c r="AP22" s="29">
        <f t="shared" si="10"/>
        <v>0</v>
      </c>
      <c r="AQ22" s="30"/>
      <c r="AR22" s="32"/>
      <c r="AS22" s="29">
        <f t="shared" si="11"/>
        <v>0</v>
      </c>
      <c r="AT22" s="30"/>
      <c r="AU22" s="32"/>
      <c r="AV22" s="29">
        <f t="shared" si="12"/>
        <v>0</v>
      </c>
      <c r="AW22" s="30"/>
      <c r="AX22" s="32"/>
      <c r="AY22" s="29">
        <f t="shared" si="13"/>
        <v>0</v>
      </c>
      <c r="AZ22" s="30"/>
      <c r="BA22" s="32"/>
      <c r="BB22" s="29">
        <f t="shared" si="14"/>
        <v>0</v>
      </c>
      <c r="BC22" s="30"/>
      <c r="BD22" s="32"/>
      <c r="BE22" s="29">
        <f t="shared" si="15"/>
        <v>0</v>
      </c>
      <c r="BF22" s="30"/>
      <c r="BG22" s="32"/>
      <c r="BH22" s="29">
        <f t="shared" si="16"/>
        <v>0</v>
      </c>
      <c r="BI22" s="30"/>
      <c r="BJ22" s="32"/>
      <c r="BK22" s="29">
        <f t="shared" si="17"/>
        <v>0</v>
      </c>
      <c r="BL22" s="30"/>
      <c r="BM22" s="32"/>
      <c r="BN22" s="29">
        <f t="shared" si="18"/>
        <v>0</v>
      </c>
      <c r="BO22" s="30"/>
      <c r="BP22" s="24">
        <f t="shared" si="24"/>
        <v>4</v>
      </c>
      <c r="BQ22" s="24">
        <f t="shared" si="20"/>
        <v>0</v>
      </c>
    </row>
    <row r="23">
      <c r="A23" s="12"/>
      <c r="B23" s="13" t="s">
        <v>62</v>
      </c>
      <c r="C23" s="13" t="s">
        <v>63</v>
      </c>
      <c r="D23" s="13" t="s">
        <v>64</v>
      </c>
      <c r="E23" s="35"/>
      <c r="F23" s="35"/>
      <c r="G23" s="13">
        <v>40.0</v>
      </c>
      <c r="H23" s="17"/>
      <c r="I23" s="17">
        <f t="shared" si="1"/>
        <v>40</v>
      </c>
      <c r="J23" s="16"/>
      <c r="K23" s="17"/>
      <c r="L23" s="17">
        <f t="shared" si="21"/>
        <v>40</v>
      </c>
      <c r="M23" s="16"/>
      <c r="N23" s="17"/>
      <c r="O23" s="17">
        <f t="shared" si="22"/>
        <v>40</v>
      </c>
      <c r="P23" s="16"/>
      <c r="Q23" s="17"/>
      <c r="R23" s="17">
        <f t="shared" si="23"/>
        <v>40</v>
      </c>
      <c r="S23" s="16"/>
      <c r="T23" s="17"/>
      <c r="U23" s="17">
        <f t="shared" si="3"/>
        <v>40</v>
      </c>
      <c r="V23" s="16"/>
      <c r="W23" s="17"/>
      <c r="X23" s="17">
        <f t="shared" si="4"/>
        <v>40</v>
      </c>
      <c r="Y23" s="16"/>
      <c r="Z23" s="17"/>
      <c r="AA23" s="17">
        <f t="shared" si="5"/>
        <v>40</v>
      </c>
      <c r="AB23" s="16"/>
      <c r="AC23" s="17"/>
      <c r="AD23" s="17">
        <f t="shared" si="6"/>
        <v>40</v>
      </c>
      <c r="AE23" s="16"/>
      <c r="AF23" s="17"/>
      <c r="AG23" s="17">
        <f t="shared" si="7"/>
        <v>40</v>
      </c>
      <c r="AH23" s="16"/>
      <c r="AI23" s="17"/>
      <c r="AJ23" s="17">
        <f t="shared" si="8"/>
        <v>40</v>
      </c>
      <c r="AK23" s="16"/>
      <c r="AL23" s="17"/>
      <c r="AM23" s="17">
        <f t="shared" si="9"/>
        <v>40</v>
      </c>
      <c r="AN23" s="16"/>
      <c r="AO23" s="17"/>
      <c r="AP23" s="17">
        <f t="shared" si="10"/>
        <v>40</v>
      </c>
      <c r="AQ23" s="16"/>
      <c r="AR23" s="17"/>
      <c r="AS23" s="17">
        <f t="shared" si="11"/>
        <v>40</v>
      </c>
      <c r="AT23" s="16"/>
      <c r="AU23" s="17"/>
      <c r="AV23" s="17">
        <f t="shared" si="12"/>
        <v>40</v>
      </c>
      <c r="AW23" s="16"/>
      <c r="AX23" s="17"/>
      <c r="AY23" s="17">
        <f t="shared" si="13"/>
        <v>40</v>
      </c>
      <c r="AZ23" s="16"/>
      <c r="BA23" s="17"/>
      <c r="BB23" s="17">
        <f t="shared" si="14"/>
        <v>40</v>
      </c>
      <c r="BC23" s="16"/>
      <c r="BD23" s="17"/>
      <c r="BE23" s="17">
        <f t="shared" si="15"/>
        <v>40</v>
      </c>
      <c r="BF23" s="16"/>
      <c r="BG23" s="17"/>
      <c r="BH23" s="17">
        <f t="shared" si="16"/>
        <v>40</v>
      </c>
      <c r="BI23" s="16"/>
      <c r="BJ23" s="17"/>
      <c r="BK23" s="17">
        <f t="shared" si="17"/>
        <v>40</v>
      </c>
      <c r="BL23" s="16"/>
      <c r="BM23" s="17"/>
      <c r="BN23" s="17">
        <f t="shared" si="18"/>
        <v>40</v>
      </c>
      <c r="BO23" s="16"/>
      <c r="BP23" s="18">
        <f t="shared" si="24"/>
        <v>0</v>
      </c>
      <c r="BQ23" s="18">
        <f t="shared" si="20"/>
        <v>40</v>
      </c>
    </row>
    <row r="24">
      <c r="A24" s="1"/>
      <c r="B24" s="19"/>
      <c r="C24" s="19"/>
      <c r="D24" s="20" t="s">
        <v>65</v>
      </c>
      <c r="E24" s="20" t="s">
        <v>54</v>
      </c>
      <c r="F24" s="20" t="s">
        <v>37</v>
      </c>
      <c r="G24" s="20">
        <v>8.0</v>
      </c>
      <c r="H24" s="21">
        <v>2.0</v>
      </c>
      <c r="I24" s="22">
        <f t="shared" si="1"/>
        <v>6</v>
      </c>
      <c r="J24" s="23"/>
      <c r="K24" s="21">
        <v>2.0</v>
      </c>
      <c r="L24" s="22">
        <f t="shared" si="21"/>
        <v>4</v>
      </c>
      <c r="M24" s="23"/>
      <c r="N24" s="21">
        <v>2.0</v>
      </c>
      <c r="O24" s="22">
        <f t="shared" si="22"/>
        <v>2</v>
      </c>
      <c r="P24" s="23"/>
      <c r="Q24" s="21">
        <v>2.0</v>
      </c>
      <c r="R24" s="22">
        <f t="shared" si="23"/>
        <v>0</v>
      </c>
      <c r="S24" s="23"/>
      <c r="T24" s="22"/>
      <c r="U24" s="22">
        <f t="shared" si="3"/>
        <v>0</v>
      </c>
      <c r="V24" s="23"/>
      <c r="W24" s="22"/>
      <c r="X24" s="22">
        <f t="shared" si="4"/>
        <v>0</v>
      </c>
      <c r="Y24" s="23"/>
      <c r="Z24" s="22"/>
      <c r="AA24" s="22">
        <f t="shared" si="5"/>
        <v>0</v>
      </c>
      <c r="AB24" s="23"/>
      <c r="AC24" s="22"/>
      <c r="AD24" s="22">
        <f t="shared" si="6"/>
        <v>0</v>
      </c>
      <c r="AE24" s="23"/>
      <c r="AF24" s="22"/>
      <c r="AG24" s="22">
        <f t="shared" si="7"/>
        <v>0</v>
      </c>
      <c r="AH24" s="23"/>
      <c r="AI24" s="22"/>
      <c r="AJ24" s="22">
        <f t="shared" si="8"/>
        <v>0</v>
      </c>
      <c r="AK24" s="23"/>
      <c r="AL24" s="22"/>
      <c r="AM24" s="22">
        <f t="shared" si="9"/>
        <v>0</v>
      </c>
      <c r="AN24" s="23"/>
      <c r="AO24" s="22"/>
      <c r="AP24" s="22">
        <f t="shared" si="10"/>
        <v>0</v>
      </c>
      <c r="AQ24" s="23"/>
      <c r="AR24" s="22"/>
      <c r="AS24" s="22">
        <f t="shared" si="11"/>
        <v>0</v>
      </c>
      <c r="AT24" s="23"/>
      <c r="AU24" s="22"/>
      <c r="AV24" s="22">
        <f t="shared" si="12"/>
        <v>0</v>
      </c>
      <c r="AW24" s="23"/>
      <c r="AX24" s="22"/>
      <c r="AY24" s="22">
        <f t="shared" si="13"/>
        <v>0</v>
      </c>
      <c r="AZ24" s="23"/>
      <c r="BA24" s="22"/>
      <c r="BB24" s="22">
        <f t="shared" si="14"/>
        <v>0</v>
      </c>
      <c r="BC24" s="23"/>
      <c r="BD24" s="22"/>
      <c r="BE24" s="22">
        <f t="shared" si="15"/>
        <v>0</v>
      </c>
      <c r="BF24" s="23"/>
      <c r="BG24" s="22"/>
      <c r="BH24" s="22">
        <f t="shared" si="16"/>
        <v>0</v>
      </c>
      <c r="BI24" s="23"/>
      <c r="BJ24" s="22"/>
      <c r="BK24" s="22">
        <f t="shared" si="17"/>
        <v>0</v>
      </c>
      <c r="BL24" s="23"/>
      <c r="BM24" s="22"/>
      <c r="BN24" s="22">
        <f t="shared" si="18"/>
        <v>0</v>
      </c>
      <c r="BO24" s="23"/>
      <c r="BP24" s="24">
        <f t="shared" si="24"/>
        <v>8</v>
      </c>
      <c r="BQ24" s="24">
        <f t="shared" si="20"/>
        <v>0</v>
      </c>
    </row>
    <row r="25">
      <c r="A25" s="1"/>
      <c r="B25" s="19"/>
      <c r="C25" s="19"/>
      <c r="D25" s="20" t="s">
        <v>66</v>
      </c>
      <c r="E25" s="20" t="s">
        <v>58</v>
      </c>
      <c r="F25" s="20" t="s">
        <v>37</v>
      </c>
      <c r="G25" s="20">
        <v>10.0</v>
      </c>
      <c r="H25" s="21">
        <v>2.0</v>
      </c>
      <c r="I25" s="22">
        <f t="shared" si="1"/>
        <v>8</v>
      </c>
      <c r="J25" s="23"/>
      <c r="K25" s="21">
        <v>2.0</v>
      </c>
      <c r="L25" s="22">
        <f t="shared" si="21"/>
        <v>6</v>
      </c>
      <c r="M25" s="23"/>
      <c r="N25" s="21">
        <v>2.0</v>
      </c>
      <c r="O25" s="22">
        <f t="shared" si="22"/>
        <v>4</v>
      </c>
      <c r="P25" s="23"/>
      <c r="Q25" s="21">
        <v>2.0</v>
      </c>
      <c r="R25" s="22">
        <f t="shared" si="23"/>
        <v>2</v>
      </c>
      <c r="S25" s="23"/>
      <c r="T25" s="21">
        <v>2.0</v>
      </c>
      <c r="U25" s="22">
        <f t="shared" si="3"/>
        <v>0</v>
      </c>
      <c r="V25" s="23"/>
      <c r="W25" s="22"/>
      <c r="X25" s="22">
        <f t="shared" si="4"/>
        <v>0</v>
      </c>
      <c r="Y25" s="23"/>
      <c r="Z25" s="22"/>
      <c r="AA25" s="22">
        <f t="shared" si="5"/>
        <v>0</v>
      </c>
      <c r="AB25" s="23"/>
      <c r="AC25" s="22"/>
      <c r="AD25" s="22">
        <f t="shared" si="6"/>
        <v>0</v>
      </c>
      <c r="AE25" s="23"/>
      <c r="AF25" s="22"/>
      <c r="AG25" s="22">
        <f t="shared" si="7"/>
        <v>0</v>
      </c>
      <c r="AH25" s="23"/>
      <c r="AI25" s="22"/>
      <c r="AJ25" s="22">
        <f t="shared" si="8"/>
        <v>0</v>
      </c>
      <c r="AK25" s="23"/>
      <c r="AL25" s="22"/>
      <c r="AM25" s="22">
        <f t="shared" si="9"/>
        <v>0</v>
      </c>
      <c r="AN25" s="23"/>
      <c r="AO25" s="22"/>
      <c r="AP25" s="22">
        <f t="shared" si="10"/>
        <v>0</v>
      </c>
      <c r="AQ25" s="23"/>
      <c r="AR25" s="22"/>
      <c r="AS25" s="22">
        <f t="shared" si="11"/>
        <v>0</v>
      </c>
      <c r="AT25" s="23"/>
      <c r="AU25" s="22"/>
      <c r="AV25" s="22">
        <f t="shared" si="12"/>
        <v>0</v>
      </c>
      <c r="AW25" s="23"/>
      <c r="AX25" s="22"/>
      <c r="AY25" s="22">
        <f t="shared" si="13"/>
        <v>0</v>
      </c>
      <c r="AZ25" s="23"/>
      <c r="BA25" s="22"/>
      <c r="BB25" s="22">
        <f t="shared" si="14"/>
        <v>0</v>
      </c>
      <c r="BC25" s="23"/>
      <c r="BD25" s="22"/>
      <c r="BE25" s="22">
        <f t="shared" si="15"/>
        <v>0</v>
      </c>
      <c r="BF25" s="23"/>
      <c r="BG25" s="22"/>
      <c r="BH25" s="22">
        <f t="shared" si="16"/>
        <v>0</v>
      </c>
      <c r="BI25" s="23"/>
      <c r="BJ25" s="22"/>
      <c r="BK25" s="22">
        <f t="shared" si="17"/>
        <v>0</v>
      </c>
      <c r="BL25" s="23"/>
      <c r="BM25" s="22"/>
      <c r="BN25" s="22">
        <f t="shared" si="18"/>
        <v>0</v>
      </c>
      <c r="BO25" s="23"/>
      <c r="BP25" s="24">
        <f t="shared" si="24"/>
        <v>10</v>
      </c>
      <c r="BQ25" s="24">
        <f t="shared" si="20"/>
        <v>0</v>
      </c>
    </row>
    <row r="26">
      <c r="A26" s="1"/>
      <c r="B26" s="19"/>
      <c r="C26" s="19"/>
      <c r="D26" s="20" t="s">
        <v>67</v>
      </c>
      <c r="E26" s="20" t="s">
        <v>54</v>
      </c>
      <c r="F26" s="20" t="s">
        <v>37</v>
      </c>
      <c r="G26" s="27">
        <v>8.0</v>
      </c>
      <c r="H26" s="28">
        <v>2.0</v>
      </c>
      <c r="I26" s="29">
        <f t="shared" si="1"/>
        <v>6</v>
      </c>
      <c r="J26" s="30"/>
      <c r="K26" s="28">
        <v>2.0</v>
      </c>
      <c r="L26" s="29">
        <f t="shared" si="21"/>
        <v>4</v>
      </c>
      <c r="M26" s="30"/>
      <c r="N26" s="28">
        <v>2.0</v>
      </c>
      <c r="O26" s="29">
        <f t="shared" si="22"/>
        <v>2</v>
      </c>
      <c r="P26" s="30"/>
      <c r="Q26" s="28">
        <v>2.0</v>
      </c>
      <c r="R26" s="29">
        <f t="shared" si="23"/>
        <v>0</v>
      </c>
      <c r="S26" s="30"/>
      <c r="T26" s="32"/>
      <c r="U26" s="29">
        <f t="shared" si="3"/>
        <v>0</v>
      </c>
      <c r="V26" s="30"/>
      <c r="W26" s="32"/>
      <c r="X26" s="29">
        <f t="shared" si="4"/>
        <v>0</v>
      </c>
      <c r="Y26" s="30"/>
      <c r="Z26" s="32"/>
      <c r="AA26" s="29">
        <f t="shared" si="5"/>
        <v>0</v>
      </c>
      <c r="AB26" s="30"/>
      <c r="AC26" s="32"/>
      <c r="AD26" s="29">
        <f t="shared" si="6"/>
        <v>0</v>
      </c>
      <c r="AE26" s="30"/>
      <c r="AF26" s="32"/>
      <c r="AG26" s="29">
        <f t="shared" si="7"/>
        <v>0</v>
      </c>
      <c r="AH26" s="30"/>
      <c r="AI26" s="32"/>
      <c r="AJ26" s="29">
        <f t="shared" si="8"/>
        <v>0</v>
      </c>
      <c r="AK26" s="30"/>
      <c r="AL26" s="32"/>
      <c r="AM26" s="29">
        <f t="shared" si="9"/>
        <v>0</v>
      </c>
      <c r="AN26" s="30"/>
      <c r="AO26" s="32"/>
      <c r="AP26" s="29">
        <f t="shared" si="10"/>
        <v>0</v>
      </c>
      <c r="AQ26" s="30"/>
      <c r="AR26" s="32"/>
      <c r="AS26" s="29">
        <f t="shared" si="11"/>
        <v>0</v>
      </c>
      <c r="AT26" s="30"/>
      <c r="AU26" s="32"/>
      <c r="AV26" s="29">
        <f t="shared" si="12"/>
        <v>0</v>
      </c>
      <c r="AW26" s="30"/>
      <c r="AX26" s="32"/>
      <c r="AY26" s="29">
        <f t="shared" si="13"/>
        <v>0</v>
      </c>
      <c r="AZ26" s="30"/>
      <c r="BA26" s="32"/>
      <c r="BB26" s="29">
        <f t="shared" si="14"/>
        <v>0</v>
      </c>
      <c r="BC26" s="30"/>
      <c r="BD26" s="32"/>
      <c r="BE26" s="29">
        <f t="shared" si="15"/>
        <v>0</v>
      </c>
      <c r="BF26" s="30"/>
      <c r="BG26" s="32"/>
      <c r="BH26" s="29">
        <f t="shared" si="16"/>
        <v>0</v>
      </c>
      <c r="BI26" s="30"/>
      <c r="BJ26" s="32"/>
      <c r="BK26" s="29">
        <f t="shared" si="17"/>
        <v>0</v>
      </c>
      <c r="BL26" s="30"/>
      <c r="BM26" s="32"/>
      <c r="BN26" s="29">
        <f t="shared" si="18"/>
        <v>0</v>
      </c>
      <c r="BO26" s="30"/>
      <c r="BP26" s="24">
        <f t="shared" si="24"/>
        <v>8</v>
      </c>
      <c r="BQ26" s="24">
        <f t="shared" si="20"/>
        <v>0</v>
      </c>
    </row>
    <row r="27">
      <c r="A27" s="1"/>
      <c r="B27" s="19"/>
      <c r="C27" s="19"/>
      <c r="D27" s="20" t="s">
        <v>68</v>
      </c>
      <c r="E27" s="20" t="s">
        <v>36</v>
      </c>
      <c r="F27" s="20" t="s">
        <v>37</v>
      </c>
      <c r="G27" s="27">
        <v>4.0</v>
      </c>
      <c r="H27" s="28">
        <v>2.0</v>
      </c>
      <c r="I27" s="29">
        <f t="shared" si="1"/>
        <v>2</v>
      </c>
      <c r="J27" s="30"/>
      <c r="K27" s="28">
        <v>2.0</v>
      </c>
      <c r="L27" s="29">
        <f t="shared" si="21"/>
        <v>0</v>
      </c>
      <c r="M27" s="30"/>
      <c r="N27" s="32"/>
      <c r="O27" s="29">
        <f t="shared" si="22"/>
        <v>0</v>
      </c>
      <c r="P27" s="30"/>
      <c r="Q27" s="32"/>
      <c r="R27" s="29">
        <f t="shared" si="23"/>
        <v>0</v>
      </c>
      <c r="S27" s="30"/>
      <c r="T27" s="32"/>
      <c r="U27" s="29">
        <f t="shared" si="3"/>
        <v>0</v>
      </c>
      <c r="V27" s="30"/>
      <c r="W27" s="32"/>
      <c r="X27" s="29">
        <f t="shared" si="4"/>
        <v>0</v>
      </c>
      <c r="Y27" s="30"/>
      <c r="Z27" s="32"/>
      <c r="AA27" s="29">
        <f t="shared" si="5"/>
        <v>0</v>
      </c>
      <c r="AB27" s="30"/>
      <c r="AC27" s="32"/>
      <c r="AD27" s="29">
        <f t="shared" si="6"/>
        <v>0</v>
      </c>
      <c r="AE27" s="30"/>
      <c r="AF27" s="32"/>
      <c r="AG27" s="29">
        <f t="shared" si="7"/>
        <v>0</v>
      </c>
      <c r="AH27" s="30"/>
      <c r="AI27" s="32"/>
      <c r="AJ27" s="29">
        <f t="shared" si="8"/>
        <v>0</v>
      </c>
      <c r="AK27" s="30"/>
      <c r="AL27" s="32"/>
      <c r="AM27" s="29">
        <f t="shared" si="9"/>
        <v>0</v>
      </c>
      <c r="AN27" s="30"/>
      <c r="AO27" s="32"/>
      <c r="AP27" s="29">
        <f t="shared" si="10"/>
        <v>0</v>
      </c>
      <c r="AQ27" s="30"/>
      <c r="AR27" s="32"/>
      <c r="AS27" s="29">
        <f t="shared" si="11"/>
        <v>0</v>
      </c>
      <c r="AT27" s="30"/>
      <c r="AU27" s="32"/>
      <c r="AV27" s="29">
        <f t="shared" si="12"/>
        <v>0</v>
      </c>
      <c r="AW27" s="30"/>
      <c r="AX27" s="32"/>
      <c r="AY27" s="29">
        <f t="shared" si="13"/>
        <v>0</v>
      </c>
      <c r="AZ27" s="30"/>
      <c r="BA27" s="32"/>
      <c r="BB27" s="29">
        <f t="shared" si="14"/>
        <v>0</v>
      </c>
      <c r="BC27" s="30"/>
      <c r="BD27" s="32"/>
      <c r="BE27" s="29">
        <f t="shared" si="15"/>
        <v>0</v>
      </c>
      <c r="BF27" s="30"/>
      <c r="BG27" s="32"/>
      <c r="BH27" s="29">
        <f t="shared" si="16"/>
        <v>0</v>
      </c>
      <c r="BI27" s="30"/>
      <c r="BJ27" s="32"/>
      <c r="BK27" s="29">
        <f t="shared" si="17"/>
        <v>0</v>
      </c>
      <c r="BL27" s="30"/>
      <c r="BM27" s="32"/>
      <c r="BN27" s="29">
        <f t="shared" si="18"/>
        <v>0</v>
      </c>
      <c r="BO27" s="30"/>
      <c r="BP27" s="24">
        <f t="shared" si="24"/>
        <v>4</v>
      </c>
      <c r="BQ27" s="24">
        <f t="shared" si="20"/>
        <v>0</v>
      </c>
    </row>
    <row r="28">
      <c r="A28" s="1"/>
      <c r="B28" s="19"/>
      <c r="C28" s="19"/>
      <c r="D28" s="26" t="s">
        <v>69</v>
      </c>
      <c r="E28" s="20" t="s">
        <v>36</v>
      </c>
      <c r="F28" s="20" t="s">
        <v>37</v>
      </c>
      <c r="G28" s="27">
        <v>4.0</v>
      </c>
      <c r="H28" s="28">
        <v>2.0</v>
      </c>
      <c r="I28" s="29">
        <f t="shared" si="1"/>
        <v>2</v>
      </c>
      <c r="J28" s="30"/>
      <c r="K28" s="28">
        <v>2.0</v>
      </c>
      <c r="L28" s="29">
        <f t="shared" si="21"/>
        <v>0</v>
      </c>
      <c r="M28" s="30"/>
      <c r="N28" s="32"/>
      <c r="O28" s="29">
        <f t="shared" si="22"/>
        <v>0</v>
      </c>
      <c r="P28" s="30"/>
      <c r="Q28" s="32"/>
      <c r="R28" s="29">
        <f t="shared" si="23"/>
        <v>0</v>
      </c>
      <c r="S28" s="30"/>
      <c r="T28" s="32"/>
      <c r="U28" s="29">
        <f t="shared" si="3"/>
        <v>0</v>
      </c>
      <c r="V28" s="30"/>
      <c r="W28" s="32"/>
      <c r="X28" s="29">
        <f t="shared" si="4"/>
        <v>0</v>
      </c>
      <c r="Y28" s="30"/>
      <c r="Z28" s="32"/>
      <c r="AA28" s="29">
        <f t="shared" si="5"/>
        <v>0</v>
      </c>
      <c r="AB28" s="30"/>
      <c r="AC28" s="32"/>
      <c r="AD28" s="29">
        <f t="shared" si="6"/>
        <v>0</v>
      </c>
      <c r="AE28" s="30"/>
      <c r="AF28" s="32"/>
      <c r="AG28" s="29">
        <f t="shared" si="7"/>
        <v>0</v>
      </c>
      <c r="AH28" s="30"/>
      <c r="AI28" s="32"/>
      <c r="AJ28" s="29">
        <f t="shared" si="8"/>
        <v>0</v>
      </c>
      <c r="AK28" s="30"/>
      <c r="AL28" s="32"/>
      <c r="AM28" s="29">
        <f t="shared" si="9"/>
        <v>0</v>
      </c>
      <c r="AN28" s="30"/>
      <c r="AO28" s="32"/>
      <c r="AP28" s="29">
        <f t="shared" si="10"/>
        <v>0</v>
      </c>
      <c r="AQ28" s="30"/>
      <c r="AR28" s="32"/>
      <c r="AS28" s="29">
        <f t="shared" si="11"/>
        <v>0</v>
      </c>
      <c r="AT28" s="30"/>
      <c r="AU28" s="32"/>
      <c r="AV28" s="29">
        <f t="shared" si="12"/>
        <v>0</v>
      </c>
      <c r="AW28" s="30"/>
      <c r="AX28" s="32"/>
      <c r="AY28" s="29">
        <f t="shared" si="13"/>
        <v>0</v>
      </c>
      <c r="AZ28" s="30"/>
      <c r="BA28" s="32"/>
      <c r="BB28" s="29">
        <f t="shared" si="14"/>
        <v>0</v>
      </c>
      <c r="BC28" s="30"/>
      <c r="BD28" s="32"/>
      <c r="BE28" s="29">
        <f t="shared" si="15"/>
        <v>0</v>
      </c>
      <c r="BF28" s="30"/>
      <c r="BG28" s="32"/>
      <c r="BH28" s="29">
        <f t="shared" si="16"/>
        <v>0</v>
      </c>
      <c r="BI28" s="30"/>
      <c r="BJ28" s="32"/>
      <c r="BK28" s="29">
        <f t="shared" si="17"/>
        <v>0</v>
      </c>
      <c r="BL28" s="30"/>
      <c r="BM28" s="32"/>
      <c r="BN28" s="29">
        <f t="shared" si="18"/>
        <v>0</v>
      </c>
      <c r="BO28" s="30"/>
      <c r="BP28" s="24">
        <f t="shared" si="24"/>
        <v>4</v>
      </c>
      <c r="BQ28" s="24">
        <f t="shared" si="20"/>
        <v>0</v>
      </c>
    </row>
    <row r="29" ht="15.75" customHeight="1">
      <c r="A29" s="12"/>
      <c r="B29" s="36" t="s">
        <v>70</v>
      </c>
      <c r="C29" s="36" t="s">
        <v>71</v>
      </c>
      <c r="D29" s="36" t="s">
        <v>72</v>
      </c>
      <c r="E29" s="37"/>
      <c r="F29" s="38"/>
      <c r="G29" s="39">
        <v>58.0</v>
      </c>
      <c r="H29" s="38"/>
      <c r="I29" s="40">
        <f t="shared" si="1"/>
        <v>58</v>
      </c>
      <c r="J29" s="41"/>
      <c r="K29" s="38"/>
      <c r="L29" s="40">
        <f t="shared" si="21"/>
        <v>58</v>
      </c>
      <c r="M29" s="41"/>
      <c r="N29" s="38"/>
      <c r="O29" s="40">
        <f t="shared" si="22"/>
        <v>58</v>
      </c>
      <c r="P29" s="41"/>
      <c r="Q29" s="38"/>
      <c r="R29" s="40">
        <f t="shared" si="23"/>
        <v>58</v>
      </c>
      <c r="S29" s="41"/>
      <c r="T29" s="38"/>
      <c r="U29" s="40">
        <f t="shared" si="3"/>
        <v>58</v>
      </c>
      <c r="V29" s="41"/>
      <c r="W29" s="38"/>
      <c r="X29" s="40">
        <f t="shared" si="4"/>
        <v>58</v>
      </c>
      <c r="Y29" s="41"/>
      <c r="Z29" s="38"/>
      <c r="AA29" s="40">
        <f t="shared" si="5"/>
        <v>58</v>
      </c>
      <c r="AB29" s="41"/>
      <c r="AC29" s="38"/>
      <c r="AD29" s="40">
        <f t="shared" si="6"/>
        <v>58</v>
      </c>
      <c r="AE29" s="41"/>
      <c r="AF29" s="38"/>
      <c r="AG29" s="40">
        <f t="shared" si="7"/>
        <v>58</v>
      </c>
      <c r="AH29" s="41"/>
      <c r="AI29" s="38"/>
      <c r="AJ29" s="40">
        <f t="shared" si="8"/>
        <v>58</v>
      </c>
      <c r="AK29" s="41"/>
      <c r="AL29" s="38"/>
      <c r="AM29" s="40">
        <f t="shared" si="9"/>
        <v>58</v>
      </c>
      <c r="AN29" s="41"/>
      <c r="AO29" s="38"/>
      <c r="AP29" s="40">
        <f t="shared" si="10"/>
        <v>58</v>
      </c>
      <c r="AQ29" s="41"/>
      <c r="AR29" s="38"/>
      <c r="AS29" s="40">
        <f t="shared" si="11"/>
        <v>58</v>
      </c>
      <c r="AT29" s="41"/>
      <c r="AU29" s="38"/>
      <c r="AV29" s="40">
        <f t="shared" si="12"/>
        <v>58</v>
      </c>
      <c r="AW29" s="41"/>
      <c r="AX29" s="38"/>
      <c r="AY29" s="40">
        <f t="shared" si="13"/>
        <v>58</v>
      </c>
      <c r="AZ29" s="41"/>
      <c r="BA29" s="38"/>
      <c r="BB29" s="40">
        <f t="shared" si="14"/>
        <v>58</v>
      </c>
      <c r="BC29" s="41"/>
      <c r="BD29" s="38"/>
      <c r="BE29" s="40">
        <f t="shared" si="15"/>
        <v>58</v>
      </c>
      <c r="BF29" s="41"/>
      <c r="BG29" s="38"/>
      <c r="BH29" s="40">
        <f t="shared" si="16"/>
        <v>58</v>
      </c>
      <c r="BI29" s="41"/>
      <c r="BJ29" s="38"/>
      <c r="BK29" s="40">
        <f t="shared" si="17"/>
        <v>58</v>
      </c>
      <c r="BL29" s="41"/>
      <c r="BM29" s="38"/>
      <c r="BN29" s="40">
        <f t="shared" si="18"/>
        <v>58</v>
      </c>
      <c r="BO29" s="41"/>
      <c r="BP29" s="18">
        <f t="shared" si="24"/>
        <v>0</v>
      </c>
      <c r="BQ29" s="18">
        <f t="shared" si="20"/>
        <v>58</v>
      </c>
    </row>
    <row r="30" ht="15.75" customHeight="1">
      <c r="A30" s="1"/>
      <c r="B30" s="32"/>
      <c r="C30" s="32"/>
      <c r="D30" s="42" t="s">
        <v>73</v>
      </c>
      <c r="E30" s="42" t="s">
        <v>54</v>
      </c>
      <c r="F30" s="28" t="s">
        <v>37</v>
      </c>
      <c r="G30" s="27">
        <v>8.0</v>
      </c>
      <c r="H30" s="28">
        <v>2.0</v>
      </c>
      <c r="I30" s="43">
        <f t="shared" si="1"/>
        <v>6</v>
      </c>
      <c r="J30" s="30"/>
      <c r="K30" s="28">
        <v>2.0</v>
      </c>
      <c r="L30" s="29">
        <f t="shared" si="21"/>
        <v>4</v>
      </c>
      <c r="M30" s="30"/>
      <c r="N30" s="28">
        <v>2.0</v>
      </c>
      <c r="O30" s="29">
        <f t="shared" si="22"/>
        <v>2</v>
      </c>
      <c r="P30" s="30"/>
      <c r="Q30" s="28">
        <v>2.0</v>
      </c>
      <c r="R30" s="29">
        <f t="shared" si="23"/>
        <v>0</v>
      </c>
      <c r="S30" s="30"/>
      <c r="T30" s="32"/>
      <c r="U30" s="29">
        <f t="shared" si="3"/>
        <v>0</v>
      </c>
      <c r="V30" s="30"/>
      <c r="W30" s="32"/>
      <c r="X30" s="29">
        <f t="shared" si="4"/>
        <v>0</v>
      </c>
      <c r="Y30" s="30"/>
      <c r="Z30" s="32"/>
      <c r="AA30" s="29">
        <f t="shared" si="5"/>
        <v>0</v>
      </c>
      <c r="AB30" s="30"/>
      <c r="AC30" s="32"/>
      <c r="AD30" s="29">
        <f t="shared" si="6"/>
        <v>0</v>
      </c>
      <c r="AE30" s="30"/>
      <c r="AF30" s="32"/>
      <c r="AG30" s="29">
        <f t="shared" si="7"/>
        <v>0</v>
      </c>
      <c r="AH30" s="30"/>
      <c r="AI30" s="32"/>
      <c r="AJ30" s="29">
        <f t="shared" si="8"/>
        <v>0</v>
      </c>
      <c r="AK30" s="30"/>
      <c r="AL30" s="32"/>
      <c r="AM30" s="29">
        <f t="shared" si="9"/>
        <v>0</v>
      </c>
      <c r="AN30" s="30"/>
      <c r="AO30" s="32"/>
      <c r="AP30" s="29">
        <f t="shared" si="10"/>
        <v>0</v>
      </c>
      <c r="AQ30" s="30"/>
      <c r="AR30" s="32"/>
      <c r="AS30" s="29">
        <f t="shared" si="11"/>
        <v>0</v>
      </c>
      <c r="AT30" s="30"/>
      <c r="AU30" s="32"/>
      <c r="AV30" s="29">
        <f t="shared" si="12"/>
        <v>0</v>
      </c>
      <c r="AW30" s="30"/>
      <c r="AX30" s="32"/>
      <c r="AY30" s="29">
        <f t="shared" si="13"/>
        <v>0</v>
      </c>
      <c r="AZ30" s="30"/>
      <c r="BA30" s="32"/>
      <c r="BB30" s="29">
        <f t="shared" si="14"/>
        <v>0</v>
      </c>
      <c r="BC30" s="30"/>
      <c r="BD30" s="32"/>
      <c r="BE30" s="29">
        <f t="shared" si="15"/>
        <v>0</v>
      </c>
      <c r="BF30" s="30"/>
      <c r="BG30" s="32"/>
      <c r="BH30" s="29">
        <f t="shared" si="16"/>
        <v>0</v>
      </c>
      <c r="BI30" s="30"/>
      <c r="BJ30" s="32"/>
      <c r="BK30" s="29">
        <f t="shared" si="17"/>
        <v>0</v>
      </c>
      <c r="BL30" s="30"/>
      <c r="BM30" s="32"/>
      <c r="BN30" s="29">
        <f t="shared" si="18"/>
        <v>0</v>
      </c>
      <c r="BO30" s="30"/>
      <c r="BP30" s="24">
        <f t="shared" si="24"/>
        <v>8</v>
      </c>
      <c r="BQ30" s="24">
        <f t="shared" si="20"/>
        <v>0</v>
      </c>
    </row>
    <row r="31" ht="15.75" customHeight="1">
      <c r="A31" s="1"/>
      <c r="B31" s="32"/>
      <c r="C31" s="32"/>
      <c r="D31" s="26" t="s">
        <v>74</v>
      </c>
      <c r="E31" s="42" t="s">
        <v>75</v>
      </c>
      <c r="F31" s="28" t="s">
        <v>37</v>
      </c>
      <c r="G31" s="27">
        <v>10.0</v>
      </c>
      <c r="H31" s="28">
        <v>2.0</v>
      </c>
      <c r="I31" s="29">
        <f t="shared" si="1"/>
        <v>8</v>
      </c>
      <c r="J31" s="30"/>
      <c r="K31" s="28">
        <v>2.0</v>
      </c>
      <c r="L31" s="29">
        <f t="shared" si="21"/>
        <v>6</v>
      </c>
      <c r="M31" s="30"/>
      <c r="N31" s="28">
        <v>2.0</v>
      </c>
      <c r="O31" s="29">
        <f t="shared" si="22"/>
        <v>4</v>
      </c>
      <c r="P31" s="30"/>
      <c r="Q31" s="28">
        <v>2.0</v>
      </c>
      <c r="R31" s="29">
        <f t="shared" si="23"/>
        <v>2</v>
      </c>
      <c r="S31" s="30"/>
      <c r="T31" s="28">
        <v>2.0</v>
      </c>
      <c r="U31" s="29">
        <f t="shared" si="3"/>
        <v>0</v>
      </c>
      <c r="V31" s="30"/>
      <c r="W31" s="32"/>
      <c r="X31" s="29">
        <f t="shared" si="4"/>
        <v>0</v>
      </c>
      <c r="Y31" s="30"/>
      <c r="Z31" s="32"/>
      <c r="AA31" s="29">
        <f t="shared" si="5"/>
        <v>0</v>
      </c>
      <c r="AB31" s="30"/>
      <c r="AC31" s="32"/>
      <c r="AD31" s="29">
        <f t="shared" si="6"/>
        <v>0</v>
      </c>
      <c r="AE31" s="30"/>
      <c r="AF31" s="32"/>
      <c r="AG31" s="29">
        <f t="shared" si="7"/>
        <v>0</v>
      </c>
      <c r="AH31" s="30"/>
      <c r="AI31" s="32"/>
      <c r="AJ31" s="29">
        <f t="shared" si="8"/>
        <v>0</v>
      </c>
      <c r="AK31" s="30"/>
      <c r="AL31" s="32"/>
      <c r="AM31" s="29">
        <f t="shared" si="9"/>
        <v>0</v>
      </c>
      <c r="AN31" s="30"/>
      <c r="AO31" s="32"/>
      <c r="AP31" s="29">
        <f t="shared" si="10"/>
        <v>0</v>
      </c>
      <c r="AQ31" s="30"/>
      <c r="AR31" s="32"/>
      <c r="AS31" s="29">
        <f t="shared" si="11"/>
        <v>0</v>
      </c>
      <c r="AT31" s="30"/>
      <c r="AU31" s="32"/>
      <c r="AV31" s="29">
        <f t="shared" si="12"/>
        <v>0</v>
      </c>
      <c r="AW31" s="30"/>
      <c r="AX31" s="32"/>
      <c r="AY31" s="29">
        <f t="shared" si="13"/>
        <v>0</v>
      </c>
      <c r="AZ31" s="30"/>
      <c r="BA31" s="32"/>
      <c r="BB31" s="29">
        <f t="shared" si="14"/>
        <v>0</v>
      </c>
      <c r="BC31" s="30"/>
      <c r="BD31" s="32"/>
      <c r="BE31" s="29">
        <f t="shared" si="15"/>
        <v>0</v>
      </c>
      <c r="BF31" s="30"/>
      <c r="BG31" s="32"/>
      <c r="BH31" s="29">
        <f t="shared" si="16"/>
        <v>0</v>
      </c>
      <c r="BI31" s="30"/>
      <c r="BJ31" s="32"/>
      <c r="BK31" s="29">
        <f t="shared" si="17"/>
        <v>0</v>
      </c>
      <c r="BL31" s="30"/>
      <c r="BM31" s="32"/>
      <c r="BN31" s="29">
        <f t="shared" si="18"/>
        <v>0</v>
      </c>
      <c r="BO31" s="30"/>
      <c r="BP31" s="24">
        <f t="shared" si="24"/>
        <v>10</v>
      </c>
      <c r="BQ31" s="24">
        <f t="shared" si="20"/>
        <v>0</v>
      </c>
    </row>
    <row r="32" ht="15.75" customHeight="1">
      <c r="A32" s="1"/>
      <c r="B32" s="32"/>
      <c r="C32" s="32"/>
      <c r="D32" s="26" t="s">
        <v>76</v>
      </c>
      <c r="E32" s="42" t="s">
        <v>54</v>
      </c>
      <c r="F32" s="28" t="s">
        <v>37</v>
      </c>
      <c r="G32" s="27">
        <v>8.0</v>
      </c>
      <c r="H32" s="28">
        <v>2.0</v>
      </c>
      <c r="I32" s="29">
        <f t="shared" si="1"/>
        <v>6</v>
      </c>
      <c r="J32" s="30"/>
      <c r="K32" s="28">
        <v>2.0</v>
      </c>
      <c r="L32" s="29">
        <f t="shared" si="21"/>
        <v>4</v>
      </c>
      <c r="M32" s="30"/>
      <c r="N32" s="28">
        <v>2.0</v>
      </c>
      <c r="O32" s="29">
        <f t="shared" si="22"/>
        <v>2</v>
      </c>
      <c r="P32" s="30"/>
      <c r="Q32" s="28">
        <v>2.0</v>
      </c>
      <c r="R32" s="29">
        <f t="shared" si="23"/>
        <v>0</v>
      </c>
      <c r="S32" s="30"/>
      <c r="T32" s="32"/>
      <c r="U32" s="29">
        <f t="shared" si="3"/>
        <v>0</v>
      </c>
      <c r="V32" s="30"/>
      <c r="W32" s="32"/>
      <c r="X32" s="29">
        <f t="shared" si="4"/>
        <v>0</v>
      </c>
      <c r="Y32" s="30"/>
      <c r="Z32" s="32"/>
      <c r="AA32" s="29">
        <f t="shared" si="5"/>
        <v>0</v>
      </c>
      <c r="AB32" s="30"/>
      <c r="AC32" s="32"/>
      <c r="AD32" s="29">
        <f t="shared" si="6"/>
        <v>0</v>
      </c>
      <c r="AE32" s="30"/>
      <c r="AF32" s="32"/>
      <c r="AG32" s="29">
        <f t="shared" si="7"/>
        <v>0</v>
      </c>
      <c r="AH32" s="30"/>
      <c r="AI32" s="32"/>
      <c r="AJ32" s="29">
        <f t="shared" si="8"/>
        <v>0</v>
      </c>
      <c r="AK32" s="30"/>
      <c r="AL32" s="32"/>
      <c r="AM32" s="29">
        <f t="shared" si="9"/>
        <v>0</v>
      </c>
      <c r="AN32" s="30"/>
      <c r="AO32" s="32"/>
      <c r="AP32" s="29">
        <f t="shared" si="10"/>
        <v>0</v>
      </c>
      <c r="AQ32" s="30"/>
      <c r="AR32" s="32"/>
      <c r="AS32" s="29">
        <f t="shared" si="11"/>
        <v>0</v>
      </c>
      <c r="AT32" s="30"/>
      <c r="AU32" s="32"/>
      <c r="AV32" s="29">
        <f t="shared" si="12"/>
        <v>0</v>
      </c>
      <c r="AW32" s="30"/>
      <c r="AX32" s="32"/>
      <c r="AY32" s="29">
        <f t="shared" si="13"/>
        <v>0</v>
      </c>
      <c r="AZ32" s="30"/>
      <c r="BA32" s="32"/>
      <c r="BB32" s="29">
        <f t="shared" si="14"/>
        <v>0</v>
      </c>
      <c r="BC32" s="30"/>
      <c r="BD32" s="32"/>
      <c r="BE32" s="29">
        <f t="shared" si="15"/>
        <v>0</v>
      </c>
      <c r="BF32" s="30"/>
      <c r="BG32" s="32"/>
      <c r="BH32" s="29">
        <f t="shared" si="16"/>
        <v>0</v>
      </c>
      <c r="BI32" s="30"/>
      <c r="BJ32" s="32"/>
      <c r="BK32" s="29">
        <f t="shared" si="17"/>
        <v>0</v>
      </c>
      <c r="BL32" s="30"/>
      <c r="BM32" s="32"/>
      <c r="BN32" s="29">
        <f t="shared" si="18"/>
        <v>0</v>
      </c>
      <c r="BO32" s="30"/>
      <c r="BP32" s="24">
        <f t="shared" si="24"/>
        <v>8</v>
      </c>
      <c r="BQ32" s="24">
        <f t="shared" si="20"/>
        <v>0</v>
      </c>
    </row>
    <row r="33" ht="15.75" customHeight="1">
      <c r="A33" s="1"/>
      <c r="B33" s="32"/>
      <c r="C33" s="32"/>
      <c r="D33" s="42" t="s">
        <v>77</v>
      </c>
      <c r="E33" s="42" t="s">
        <v>75</v>
      </c>
      <c r="F33" s="28" t="s">
        <v>37</v>
      </c>
      <c r="G33" s="27">
        <v>6.0</v>
      </c>
      <c r="H33" s="28">
        <v>2.0</v>
      </c>
      <c r="I33" s="29">
        <f t="shared" si="1"/>
        <v>4</v>
      </c>
      <c r="J33" s="30"/>
      <c r="K33" s="28">
        <v>2.0</v>
      </c>
      <c r="L33" s="29">
        <f t="shared" si="21"/>
        <v>2</v>
      </c>
      <c r="M33" s="30"/>
      <c r="N33" s="28">
        <v>2.0</v>
      </c>
      <c r="O33" s="29">
        <f t="shared" si="22"/>
        <v>0</v>
      </c>
      <c r="P33" s="30"/>
      <c r="Q33" s="32"/>
      <c r="R33" s="29">
        <f t="shared" si="23"/>
        <v>0</v>
      </c>
      <c r="S33" s="30"/>
      <c r="T33" s="32"/>
      <c r="U33" s="29">
        <f t="shared" si="3"/>
        <v>0</v>
      </c>
      <c r="V33" s="30"/>
      <c r="W33" s="32"/>
      <c r="X33" s="29">
        <f t="shared" si="4"/>
        <v>0</v>
      </c>
      <c r="Y33" s="30"/>
      <c r="Z33" s="32"/>
      <c r="AA33" s="29">
        <f t="shared" si="5"/>
        <v>0</v>
      </c>
      <c r="AB33" s="30"/>
      <c r="AC33" s="32"/>
      <c r="AD33" s="29">
        <f t="shared" si="6"/>
        <v>0</v>
      </c>
      <c r="AE33" s="30"/>
      <c r="AF33" s="32"/>
      <c r="AG33" s="29">
        <f t="shared" si="7"/>
        <v>0</v>
      </c>
      <c r="AH33" s="30"/>
      <c r="AI33" s="32"/>
      <c r="AJ33" s="29">
        <f t="shared" si="8"/>
        <v>0</v>
      </c>
      <c r="AK33" s="30"/>
      <c r="AL33" s="32"/>
      <c r="AM33" s="29">
        <f t="shared" si="9"/>
        <v>0</v>
      </c>
      <c r="AN33" s="30"/>
      <c r="AO33" s="32"/>
      <c r="AP33" s="29">
        <f t="shared" si="10"/>
        <v>0</v>
      </c>
      <c r="AQ33" s="30"/>
      <c r="AR33" s="32"/>
      <c r="AS33" s="29">
        <f t="shared" si="11"/>
        <v>0</v>
      </c>
      <c r="AT33" s="30"/>
      <c r="AU33" s="32"/>
      <c r="AV33" s="29">
        <f t="shared" si="12"/>
        <v>0</v>
      </c>
      <c r="AW33" s="30"/>
      <c r="AX33" s="32"/>
      <c r="AY33" s="29">
        <f t="shared" si="13"/>
        <v>0</v>
      </c>
      <c r="AZ33" s="30"/>
      <c r="BA33" s="32"/>
      <c r="BB33" s="29">
        <f t="shared" si="14"/>
        <v>0</v>
      </c>
      <c r="BC33" s="30"/>
      <c r="BD33" s="32"/>
      <c r="BE33" s="29">
        <f t="shared" si="15"/>
        <v>0</v>
      </c>
      <c r="BF33" s="30"/>
      <c r="BG33" s="32"/>
      <c r="BH33" s="29">
        <f t="shared" si="16"/>
        <v>0</v>
      </c>
      <c r="BI33" s="30"/>
      <c r="BJ33" s="32"/>
      <c r="BK33" s="29">
        <f t="shared" si="17"/>
        <v>0</v>
      </c>
      <c r="BL33" s="30"/>
      <c r="BM33" s="32"/>
      <c r="BN33" s="29">
        <f t="shared" si="18"/>
        <v>0</v>
      </c>
      <c r="BO33" s="30"/>
      <c r="BP33" s="24">
        <f t="shared" si="24"/>
        <v>6</v>
      </c>
      <c r="BQ33" s="24">
        <f t="shared" si="20"/>
        <v>0</v>
      </c>
    </row>
    <row r="34" ht="15.75" customHeight="1">
      <c r="A34" s="1"/>
      <c r="B34" s="32"/>
      <c r="C34" s="32"/>
      <c r="D34" s="42" t="s">
        <v>78</v>
      </c>
      <c r="E34" s="42" t="s">
        <v>54</v>
      </c>
      <c r="F34" s="28" t="s">
        <v>37</v>
      </c>
      <c r="G34" s="27">
        <v>8.0</v>
      </c>
      <c r="H34" s="28">
        <v>3.0</v>
      </c>
      <c r="I34" s="29">
        <f t="shared" si="1"/>
        <v>5</v>
      </c>
      <c r="J34" s="30"/>
      <c r="K34" s="28">
        <v>2.0</v>
      </c>
      <c r="L34" s="29">
        <f t="shared" si="21"/>
        <v>3</v>
      </c>
      <c r="M34" s="30"/>
      <c r="N34" s="28">
        <v>2.0</v>
      </c>
      <c r="O34" s="29">
        <f t="shared" si="22"/>
        <v>1</v>
      </c>
      <c r="P34" s="30"/>
      <c r="Q34" s="28">
        <v>1.0</v>
      </c>
      <c r="R34" s="29">
        <f t="shared" si="23"/>
        <v>0</v>
      </c>
      <c r="S34" s="30"/>
      <c r="T34" s="32"/>
      <c r="U34" s="29">
        <f t="shared" si="3"/>
        <v>0</v>
      </c>
      <c r="V34" s="30"/>
      <c r="W34" s="32"/>
      <c r="X34" s="29">
        <f t="shared" si="4"/>
        <v>0</v>
      </c>
      <c r="Y34" s="30"/>
      <c r="Z34" s="32"/>
      <c r="AA34" s="29">
        <f t="shared" si="5"/>
        <v>0</v>
      </c>
      <c r="AB34" s="30"/>
      <c r="AC34" s="32"/>
      <c r="AD34" s="29">
        <f t="shared" si="6"/>
        <v>0</v>
      </c>
      <c r="AE34" s="30"/>
      <c r="AF34" s="32"/>
      <c r="AG34" s="29">
        <f t="shared" si="7"/>
        <v>0</v>
      </c>
      <c r="AH34" s="30"/>
      <c r="AI34" s="32"/>
      <c r="AJ34" s="29">
        <f t="shared" si="8"/>
        <v>0</v>
      </c>
      <c r="AK34" s="30"/>
      <c r="AL34" s="32"/>
      <c r="AM34" s="29">
        <f t="shared" si="9"/>
        <v>0</v>
      </c>
      <c r="AN34" s="30"/>
      <c r="AO34" s="32"/>
      <c r="AP34" s="29">
        <f t="shared" si="10"/>
        <v>0</v>
      </c>
      <c r="AQ34" s="30"/>
      <c r="AR34" s="32"/>
      <c r="AS34" s="29">
        <f t="shared" si="11"/>
        <v>0</v>
      </c>
      <c r="AT34" s="30"/>
      <c r="AU34" s="32"/>
      <c r="AV34" s="29">
        <f t="shared" si="12"/>
        <v>0</v>
      </c>
      <c r="AW34" s="30"/>
      <c r="AX34" s="32"/>
      <c r="AY34" s="29">
        <f t="shared" si="13"/>
        <v>0</v>
      </c>
      <c r="AZ34" s="30"/>
      <c r="BA34" s="32"/>
      <c r="BB34" s="29">
        <f t="shared" si="14"/>
        <v>0</v>
      </c>
      <c r="BC34" s="30"/>
      <c r="BD34" s="32"/>
      <c r="BE34" s="29">
        <f t="shared" si="15"/>
        <v>0</v>
      </c>
      <c r="BF34" s="30"/>
      <c r="BG34" s="32"/>
      <c r="BH34" s="29">
        <f t="shared" si="16"/>
        <v>0</v>
      </c>
      <c r="BI34" s="30"/>
      <c r="BJ34" s="32"/>
      <c r="BK34" s="29">
        <f t="shared" si="17"/>
        <v>0</v>
      </c>
      <c r="BL34" s="30"/>
      <c r="BM34" s="32"/>
      <c r="BN34" s="29">
        <f t="shared" si="18"/>
        <v>0</v>
      </c>
      <c r="BO34" s="30"/>
      <c r="BP34" s="24">
        <f t="shared" si="24"/>
        <v>8</v>
      </c>
      <c r="BQ34" s="24">
        <f t="shared" si="20"/>
        <v>0</v>
      </c>
    </row>
    <row r="35" ht="15.75" customHeight="1">
      <c r="A35" s="1"/>
      <c r="B35" s="32"/>
      <c r="C35" s="32"/>
      <c r="D35" s="42" t="s">
        <v>79</v>
      </c>
      <c r="E35" s="42" t="s">
        <v>54</v>
      </c>
      <c r="F35" s="28" t="s">
        <v>37</v>
      </c>
      <c r="G35" s="27">
        <v>10.0</v>
      </c>
      <c r="H35" s="28">
        <v>2.0</v>
      </c>
      <c r="I35" s="29">
        <f t="shared" si="1"/>
        <v>8</v>
      </c>
      <c r="J35" s="30"/>
      <c r="K35" s="28">
        <v>2.0</v>
      </c>
      <c r="L35" s="29">
        <f t="shared" si="21"/>
        <v>6</v>
      </c>
      <c r="M35" s="30"/>
      <c r="N35" s="28">
        <v>2.0</v>
      </c>
      <c r="O35" s="29">
        <f t="shared" si="22"/>
        <v>4</v>
      </c>
      <c r="P35" s="30"/>
      <c r="Q35" s="28">
        <v>2.0</v>
      </c>
      <c r="R35" s="29">
        <f t="shared" si="23"/>
        <v>2</v>
      </c>
      <c r="S35" s="30"/>
      <c r="T35" s="28">
        <v>2.0</v>
      </c>
      <c r="U35" s="29">
        <f t="shared" si="3"/>
        <v>0</v>
      </c>
      <c r="V35" s="30"/>
      <c r="W35" s="32"/>
      <c r="X35" s="29">
        <f t="shared" si="4"/>
        <v>0</v>
      </c>
      <c r="Y35" s="30"/>
      <c r="Z35" s="32"/>
      <c r="AA35" s="29">
        <f t="shared" si="5"/>
        <v>0</v>
      </c>
      <c r="AB35" s="30"/>
      <c r="AC35" s="32"/>
      <c r="AD35" s="29">
        <f t="shared" si="6"/>
        <v>0</v>
      </c>
      <c r="AE35" s="30"/>
      <c r="AF35" s="32"/>
      <c r="AG35" s="29">
        <f t="shared" si="7"/>
        <v>0</v>
      </c>
      <c r="AH35" s="30"/>
      <c r="AI35" s="32"/>
      <c r="AJ35" s="29">
        <f t="shared" si="8"/>
        <v>0</v>
      </c>
      <c r="AK35" s="30"/>
      <c r="AL35" s="32"/>
      <c r="AM35" s="29">
        <f t="shared" si="9"/>
        <v>0</v>
      </c>
      <c r="AN35" s="30"/>
      <c r="AO35" s="32"/>
      <c r="AP35" s="29">
        <f t="shared" si="10"/>
        <v>0</v>
      </c>
      <c r="AQ35" s="30"/>
      <c r="AR35" s="32"/>
      <c r="AS35" s="29">
        <f t="shared" si="11"/>
        <v>0</v>
      </c>
      <c r="AT35" s="30"/>
      <c r="AU35" s="32"/>
      <c r="AV35" s="29">
        <f t="shared" si="12"/>
        <v>0</v>
      </c>
      <c r="AW35" s="30"/>
      <c r="AX35" s="32"/>
      <c r="AY35" s="29">
        <f t="shared" si="13"/>
        <v>0</v>
      </c>
      <c r="AZ35" s="30"/>
      <c r="BA35" s="32"/>
      <c r="BB35" s="29">
        <f t="shared" si="14"/>
        <v>0</v>
      </c>
      <c r="BC35" s="30"/>
      <c r="BD35" s="32"/>
      <c r="BE35" s="29">
        <f t="shared" si="15"/>
        <v>0</v>
      </c>
      <c r="BF35" s="30"/>
      <c r="BG35" s="32"/>
      <c r="BH35" s="29">
        <f t="shared" si="16"/>
        <v>0</v>
      </c>
      <c r="BI35" s="30"/>
      <c r="BJ35" s="32"/>
      <c r="BK35" s="29">
        <f t="shared" si="17"/>
        <v>0</v>
      </c>
      <c r="BL35" s="30"/>
      <c r="BM35" s="32"/>
      <c r="BN35" s="29">
        <f t="shared" si="18"/>
        <v>0</v>
      </c>
      <c r="BO35" s="30"/>
      <c r="BP35" s="24">
        <f t="shared" si="24"/>
        <v>10</v>
      </c>
      <c r="BQ35" s="24">
        <f t="shared" si="20"/>
        <v>0</v>
      </c>
    </row>
    <row r="36" ht="15.75" customHeight="1">
      <c r="A36" s="1"/>
      <c r="B36" s="32"/>
      <c r="C36" s="32"/>
      <c r="D36" s="42" t="s">
        <v>80</v>
      </c>
      <c r="E36" s="42" t="s">
        <v>36</v>
      </c>
      <c r="F36" s="28" t="s">
        <v>37</v>
      </c>
      <c r="G36" s="27">
        <v>4.0</v>
      </c>
      <c r="H36" s="28">
        <v>2.0</v>
      </c>
      <c r="I36" s="29">
        <f t="shared" si="1"/>
        <v>2</v>
      </c>
      <c r="J36" s="30"/>
      <c r="K36" s="28">
        <v>2.0</v>
      </c>
      <c r="L36" s="29">
        <f t="shared" si="21"/>
        <v>0</v>
      </c>
      <c r="M36" s="30"/>
      <c r="N36" s="32"/>
      <c r="O36" s="29">
        <f t="shared" si="22"/>
        <v>0</v>
      </c>
      <c r="P36" s="30"/>
      <c r="Q36" s="32"/>
      <c r="R36" s="29">
        <f t="shared" si="23"/>
        <v>0</v>
      </c>
      <c r="S36" s="30"/>
      <c r="T36" s="32"/>
      <c r="U36" s="29">
        <f t="shared" si="3"/>
        <v>0</v>
      </c>
      <c r="V36" s="30"/>
      <c r="W36" s="32"/>
      <c r="X36" s="29">
        <f t="shared" si="4"/>
        <v>0</v>
      </c>
      <c r="Y36" s="30"/>
      <c r="Z36" s="32"/>
      <c r="AA36" s="29">
        <f t="shared" si="5"/>
        <v>0</v>
      </c>
      <c r="AB36" s="30"/>
      <c r="AC36" s="32"/>
      <c r="AD36" s="29">
        <f t="shared" si="6"/>
        <v>0</v>
      </c>
      <c r="AE36" s="30"/>
      <c r="AF36" s="32"/>
      <c r="AG36" s="29">
        <f t="shared" si="7"/>
        <v>0</v>
      </c>
      <c r="AH36" s="30"/>
      <c r="AI36" s="32"/>
      <c r="AJ36" s="29">
        <f t="shared" si="8"/>
        <v>0</v>
      </c>
      <c r="AK36" s="30"/>
      <c r="AL36" s="32"/>
      <c r="AM36" s="29">
        <f t="shared" si="9"/>
        <v>0</v>
      </c>
      <c r="AN36" s="30"/>
      <c r="AO36" s="32"/>
      <c r="AP36" s="29">
        <f t="shared" si="10"/>
        <v>0</v>
      </c>
      <c r="AQ36" s="30"/>
      <c r="AR36" s="32"/>
      <c r="AS36" s="29">
        <f t="shared" si="11"/>
        <v>0</v>
      </c>
      <c r="AT36" s="30"/>
      <c r="AU36" s="32"/>
      <c r="AV36" s="29">
        <f t="shared" si="12"/>
        <v>0</v>
      </c>
      <c r="AW36" s="30"/>
      <c r="AX36" s="32"/>
      <c r="AY36" s="29">
        <f t="shared" si="13"/>
        <v>0</v>
      </c>
      <c r="AZ36" s="30"/>
      <c r="BA36" s="32"/>
      <c r="BB36" s="29">
        <f t="shared" si="14"/>
        <v>0</v>
      </c>
      <c r="BC36" s="30"/>
      <c r="BD36" s="32"/>
      <c r="BE36" s="29">
        <f t="shared" si="15"/>
        <v>0</v>
      </c>
      <c r="BF36" s="30"/>
      <c r="BG36" s="32"/>
      <c r="BH36" s="29">
        <f t="shared" si="16"/>
        <v>0</v>
      </c>
      <c r="BI36" s="30"/>
      <c r="BJ36" s="32"/>
      <c r="BK36" s="29">
        <f t="shared" si="17"/>
        <v>0</v>
      </c>
      <c r="BL36" s="30"/>
      <c r="BM36" s="32"/>
      <c r="BN36" s="29">
        <f t="shared" si="18"/>
        <v>0</v>
      </c>
      <c r="BO36" s="30"/>
      <c r="BP36" s="24">
        <f t="shared" si="24"/>
        <v>4</v>
      </c>
      <c r="BQ36" s="24">
        <f t="shared" si="20"/>
        <v>0</v>
      </c>
    </row>
    <row r="37" ht="15.75" customHeight="1">
      <c r="A37" s="1"/>
      <c r="B37" s="32"/>
      <c r="C37" s="32"/>
      <c r="D37" s="42" t="s">
        <v>81</v>
      </c>
      <c r="E37" s="28" t="s">
        <v>36</v>
      </c>
      <c r="F37" s="28" t="s">
        <v>37</v>
      </c>
      <c r="G37" s="27">
        <v>4.0</v>
      </c>
      <c r="H37" s="28">
        <v>2.0</v>
      </c>
      <c r="I37" s="29">
        <f t="shared" si="1"/>
        <v>2</v>
      </c>
      <c r="J37" s="30"/>
      <c r="K37" s="28">
        <v>2.0</v>
      </c>
      <c r="L37" s="29">
        <f t="shared" si="21"/>
        <v>0</v>
      </c>
      <c r="M37" s="30"/>
      <c r="N37" s="32"/>
      <c r="O37" s="29">
        <f t="shared" si="22"/>
        <v>0</v>
      </c>
      <c r="P37" s="30"/>
      <c r="Q37" s="32"/>
      <c r="R37" s="29">
        <f t="shared" si="23"/>
        <v>0</v>
      </c>
      <c r="S37" s="30"/>
      <c r="T37" s="32"/>
      <c r="U37" s="29">
        <f t="shared" si="3"/>
        <v>0</v>
      </c>
      <c r="V37" s="30"/>
      <c r="W37" s="32"/>
      <c r="X37" s="29">
        <f t="shared" si="4"/>
        <v>0</v>
      </c>
      <c r="Y37" s="30"/>
      <c r="Z37" s="32"/>
      <c r="AA37" s="29">
        <f t="shared" si="5"/>
        <v>0</v>
      </c>
      <c r="AB37" s="30"/>
      <c r="AC37" s="32"/>
      <c r="AD37" s="29">
        <f t="shared" si="6"/>
        <v>0</v>
      </c>
      <c r="AE37" s="30"/>
      <c r="AF37" s="32"/>
      <c r="AG37" s="29">
        <f t="shared" si="7"/>
        <v>0</v>
      </c>
      <c r="AH37" s="30"/>
      <c r="AI37" s="32"/>
      <c r="AJ37" s="29">
        <f t="shared" si="8"/>
        <v>0</v>
      </c>
      <c r="AK37" s="30"/>
      <c r="AL37" s="32"/>
      <c r="AM37" s="29">
        <f t="shared" si="9"/>
        <v>0</v>
      </c>
      <c r="AN37" s="30"/>
      <c r="AO37" s="32"/>
      <c r="AP37" s="29">
        <f t="shared" si="10"/>
        <v>0</v>
      </c>
      <c r="AQ37" s="30"/>
      <c r="AR37" s="32"/>
      <c r="AS37" s="29">
        <f t="shared" si="11"/>
        <v>0</v>
      </c>
      <c r="AT37" s="30"/>
      <c r="AU37" s="32"/>
      <c r="AV37" s="29">
        <f t="shared" si="12"/>
        <v>0</v>
      </c>
      <c r="AW37" s="30"/>
      <c r="AX37" s="32"/>
      <c r="AY37" s="29">
        <f t="shared" si="13"/>
        <v>0</v>
      </c>
      <c r="AZ37" s="30"/>
      <c r="BA37" s="32"/>
      <c r="BB37" s="29">
        <f t="shared" si="14"/>
        <v>0</v>
      </c>
      <c r="BC37" s="30"/>
      <c r="BD37" s="32"/>
      <c r="BE37" s="29">
        <f t="shared" si="15"/>
        <v>0</v>
      </c>
      <c r="BF37" s="30"/>
      <c r="BG37" s="32"/>
      <c r="BH37" s="29">
        <f t="shared" si="16"/>
        <v>0</v>
      </c>
      <c r="BI37" s="30"/>
      <c r="BJ37" s="32"/>
      <c r="BK37" s="29">
        <f t="shared" si="17"/>
        <v>0</v>
      </c>
      <c r="BL37" s="30"/>
      <c r="BM37" s="32"/>
      <c r="BN37" s="29">
        <f t="shared" si="18"/>
        <v>0</v>
      </c>
      <c r="BO37" s="30"/>
      <c r="BP37" s="24">
        <f t="shared" si="24"/>
        <v>4</v>
      </c>
      <c r="BQ37" s="24">
        <f t="shared" si="20"/>
        <v>0</v>
      </c>
    </row>
    <row r="38" ht="15.75" customHeight="1">
      <c r="A38" s="12"/>
      <c r="B38" s="13" t="s">
        <v>82</v>
      </c>
      <c r="C38" s="13" t="s">
        <v>83</v>
      </c>
      <c r="D38" s="13" t="s">
        <v>84</v>
      </c>
      <c r="E38" s="13" t="s">
        <v>40</v>
      </c>
      <c r="F38" s="13" t="s">
        <v>85</v>
      </c>
      <c r="G38" s="13">
        <v>40.0</v>
      </c>
      <c r="H38" s="17"/>
      <c r="I38" s="17">
        <f t="shared" si="1"/>
        <v>40</v>
      </c>
      <c r="J38" s="16"/>
      <c r="K38" s="17"/>
      <c r="L38" s="17">
        <f t="shared" si="21"/>
        <v>40</v>
      </c>
      <c r="M38" s="16"/>
      <c r="N38" s="17"/>
      <c r="O38" s="17">
        <f t="shared" si="22"/>
        <v>40</v>
      </c>
      <c r="P38" s="16"/>
      <c r="Q38" s="17"/>
      <c r="R38" s="17">
        <f t="shared" si="23"/>
        <v>40</v>
      </c>
      <c r="S38" s="16"/>
      <c r="T38" s="17"/>
      <c r="U38" s="17">
        <f t="shared" si="3"/>
        <v>40</v>
      </c>
      <c r="V38" s="16"/>
      <c r="W38" s="17"/>
      <c r="X38" s="17">
        <f t="shared" si="4"/>
        <v>40</v>
      </c>
      <c r="Y38" s="16"/>
      <c r="Z38" s="17"/>
      <c r="AA38" s="17">
        <f t="shared" si="5"/>
        <v>40</v>
      </c>
      <c r="AB38" s="16"/>
      <c r="AC38" s="38"/>
      <c r="AD38" s="40">
        <f t="shared" si="6"/>
        <v>40</v>
      </c>
      <c r="AE38" s="41"/>
      <c r="AF38" s="38"/>
      <c r="AG38" s="40">
        <f t="shared" si="7"/>
        <v>40</v>
      </c>
      <c r="AH38" s="41"/>
      <c r="AI38" s="38"/>
      <c r="AJ38" s="40">
        <f t="shared" si="8"/>
        <v>40</v>
      </c>
      <c r="AK38" s="41"/>
      <c r="AL38" s="38"/>
      <c r="AM38" s="40">
        <f t="shared" si="9"/>
        <v>40</v>
      </c>
      <c r="AN38" s="41"/>
      <c r="AO38" s="38"/>
      <c r="AP38" s="40">
        <f t="shared" si="10"/>
        <v>40</v>
      </c>
      <c r="AQ38" s="41"/>
      <c r="AR38" s="38"/>
      <c r="AS38" s="40">
        <f t="shared" si="11"/>
        <v>40</v>
      </c>
      <c r="AT38" s="41"/>
      <c r="AU38" s="38"/>
      <c r="AV38" s="40">
        <f t="shared" si="12"/>
        <v>40</v>
      </c>
      <c r="AW38" s="41"/>
      <c r="AX38" s="38"/>
      <c r="AY38" s="40">
        <f t="shared" si="13"/>
        <v>40</v>
      </c>
      <c r="AZ38" s="41"/>
      <c r="BA38" s="38"/>
      <c r="BB38" s="40">
        <f t="shared" si="14"/>
        <v>40</v>
      </c>
      <c r="BC38" s="41"/>
      <c r="BD38" s="38"/>
      <c r="BE38" s="40">
        <f t="shared" si="15"/>
        <v>40</v>
      </c>
      <c r="BF38" s="41"/>
      <c r="BG38" s="38"/>
      <c r="BH38" s="40">
        <f t="shared" si="16"/>
        <v>40</v>
      </c>
      <c r="BI38" s="41"/>
      <c r="BJ38" s="38"/>
      <c r="BK38" s="40">
        <f t="shared" si="17"/>
        <v>40</v>
      </c>
      <c r="BL38" s="41"/>
      <c r="BM38" s="38"/>
      <c r="BN38" s="40">
        <f t="shared" si="18"/>
        <v>40</v>
      </c>
      <c r="BO38" s="41"/>
      <c r="BP38" s="18">
        <f t="shared" si="24"/>
        <v>0</v>
      </c>
      <c r="BQ38" s="18">
        <f t="shared" si="20"/>
        <v>40</v>
      </c>
    </row>
    <row r="39" ht="15.75" customHeight="1">
      <c r="A39" s="1"/>
      <c r="B39" s="32"/>
      <c r="C39" s="32"/>
      <c r="D39" s="42" t="s">
        <v>86</v>
      </c>
      <c r="E39" s="28" t="s">
        <v>54</v>
      </c>
      <c r="F39" s="28" t="s">
        <v>37</v>
      </c>
      <c r="G39" s="27">
        <v>8.0</v>
      </c>
      <c r="H39" s="28">
        <v>2.0</v>
      </c>
      <c r="I39" s="29">
        <f t="shared" si="1"/>
        <v>6</v>
      </c>
      <c r="J39" s="30"/>
      <c r="K39" s="28">
        <v>2.0</v>
      </c>
      <c r="L39" s="29">
        <f t="shared" si="21"/>
        <v>4</v>
      </c>
      <c r="M39" s="30"/>
      <c r="N39" s="28">
        <v>2.0</v>
      </c>
      <c r="O39" s="29">
        <f t="shared" si="22"/>
        <v>2</v>
      </c>
      <c r="P39" s="30"/>
      <c r="Q39" s="28">
        <v>2.0</v>
      </c>
      <c r="R39" s="29">
        <f t="shared" si="23"/>
        <v>0</v>
      </c>
      <c r="S39" s="30"/>
      <c r="T39" s="32"/>
      <c r="U39" s="29">
        <f t="shared" si="3"/>
        <v>0</v>
      </c>
      <c r="V39" s="30"/>
      <c r="W39" s="32"/>
      <c r="X39" s="29">
        <f t="shared" si="4"/>
        <v>0</v>
      </c>
      <c r="Y39" s="30"/>
      <c r="Z39" s="32"/>
      <c r="AA39" s="29">
        <f t="shared" si="5"/>
        <v>0</v>
      </c>
      <c r="AB39" s="30"/>
      <c r="AC39" s="32"/>
      <c r="AD39" s="29">
        <f t="shared" si="6"/>
        <v>0</v>
      </c>
      <c r="AE39" s="30"/>
      <c r="AF39" s="32"/>
      <c r="AG39" s="29">
        <f t="shared" si="7"/>
        <v>0</v>
      </c>
      <c r="AH39" s="30"/>
      <c r="AI39" s="32"/>
      <c r="AJ39" s="29">
        <f t="shared" si="8"/>
        <v>0</v>
      </c>
      <c r="AK39" s="30"/>
      <c r="AL39" s="32"/>
      <c r="AM39" s="29">
        <f t="shared" si="9"/>
        <v>0</v>
      </c>
      <c r="AN39" s="30"/>
      <c r="AO39" s="32"/>
      <c r="AP39" s="29">
        <f t="shared" si="10"/>
        <v>0</v>
      </c>
      <c r="AQ39" s="30"/>
      <c r="AR39" s="32"/>
      <c r="AS39" s="29">
        <f t="shared" si="11"/>
        <v>0</v>
      </c>
      <c r="AT39" s="30"/>
      <c r="AU39" s="32"/>
      <c r="AV39" s="29">
        <f t="shared" si="12"/>
        <v>0</v>
      </c>
      <c r="AW39" s="30"/>
      <c r="AX39" s="32"/>
      <c r="AY39" s="29">
        <f t="shared" si="13"/>
        <v>0</v>
      </c>
      <c r="AZ39" s="30"/>
      <c r="BA39" s="32"/>
      <c r="BB39" s="29">
        <f t="shared" si="14"/>
        <v>0</v>
      </c>
      <c r="BC39" s="30"/>
      <c r="BD39" s="32"/>
      <c r="BE39" s="29">
        <f t="shared" si="15"/>
        <v>0</v>
      </c>
      <c r="BF39" s="30"/>
      <c r="BG39" s="32"/>
      <c r="BH39" s="29">
        <f t="shared" si="16"/>
        <v>0</v>
      </c>
      <c r="BI39" s="30"/>
      <c r="BJ39" s="32"/>
      <c r="BK39" s="29">
        <f t="shared" si="17"/>
        <v>0</v>
      </c>
      <c r="BL39" s="30"/>
      <c r="BM39" s="32"/>
      <c r="BN39" s="29">
        <f t="shared" si="18"/>
        <v>0</v>
      </c>
      <c r="BO39" s="30"/>
      <c r="BP39" s="24">
        <f t="shared" si="24"/>
        <v>8</v>
      </c>
      <c r="BQ39" s="24">
        <f t="shared" si="20"/>
        <v>0</v>
      </c>
    </row>
    <row r="40" ht="15.75" customHeight="1">
      <c r="A40" s="1"/>
      <c r="B40" s="32"/>
      <c r="C40" s="32"/>
      <c r="D40" s="42" t="s">
        <v>87</v>
      </c>
      <c r="E40" s="28" t="s">
        <v>75</v>
      </c>
      <c r="F40" s="28" t="s">
        <v>37</v>
      </c>
      <c r="G40" s="27">
        <v>10.0</v>
      </c>
      <c r="H40" s="28">
        <v>2.0</v>
      </c>
      <c r="I40" s="29">
        <f t="shared" si="1"/>
        <v>8</v>
      </c>
      <c r="J40" s="30"/>
      <c r="K40" s="28">
        <v>2.0</v>
      </c>
      <c r="L40" s="29">
        <f t="shared" si="21"/>
        <v>6</v>
      </c>
      <c r="M40" s="30"/>
      <c r="N40" s="28">
        <v>2.0</v>
      </c>
      <c r="O40" s="29">
        <f t="shared" si="22"/>
        <v>4</v>
      </c>
      <c r="P40" s="30"/>
      <c r="Q40" s="28">
        <v>2.0</v>
      </c>
      <c r="R40" s="29">
        <f t="shared" si="23"/>
        <v>2</v>
      </c>
      <c r="S40" s="30"/>
      <c r="T40" s="28">
        <v>2.0</v>
      </c>
      <c r="U40" s="29">
        <f t="shared" si="3"/>
        <v>0</v>
      </c>
      <c r="V40" s="30"/>
      <c r="W40" s="32"/>
      <c r="X40" s="29">
        <f t="shared" si="4"/>
        <v>0</v>
      </c>
      <c r="Y40" s="30"/>
      <c r="Z40" s="32"/>
      <c r="AA40" s="29">
        <f t="shared" si="5"/>
        <v>0</v>
      </c>
      <c r="AB40" s="30"/>
      <c r="AC40" s="32"/>
      <c r="AD40" s="29">
        <f t="shared" si="6"/>
        <v>0</v>
      </c>
      <c r="AE40" s="30"/>
      <c r="AF40" s="32"/>
      <c r="AG40" s="29">
        <f t="shared" si="7"/>
        <v>0</v>
      </c>
      <c r="AH40" s="30"/>
      <c r="AI40" s="32"/>
      <c r="AJ40" s="29">
        <f t="shared" si="8"/>
        <v>0</v>
      </c>
      <c r="AK40" s="30"/>
      <c r="AL40" s="32"/>
      <c r="AM40" s="29">
        <f t="shared" si="9"/>
        <v>0</v>
      </c>
      <c r="AN40" s="30"/>
      <c r="AO40" s="32"/>
      <c r="AP40" s="29">
        <f t="shared" si="10"/>
        <v>0</v>
      </c>
      <c r="AQ40" s="30"/>
      <c r="AR40" s="32"/>
      <c r="AS40" s="29">
        <f t="shared" si="11"/>
        <v>0</v>
      </c>
      <c r="AT40" s="30"/>
      <c r="AU40" s="32"/>
      <c r="AV40" s="29">
        <f t="shared" si="12"/>
        <v>0</v>
      </c>
      <c r="AW40" s="30"/>
      <c r="AX40" s="32"/>
      <c r="AY40" s="29">
        <f t="shared" si="13"/>
        <v>0</v>
      </c>
      <c r="AZ40" s="30"/>
      <c r="BA40" s="32"/>
      <c r="BB40" s="29">
        <f t="shared" si="14"/>
        <v>0</v>
      </c>
      <c r="BC40" s="30"/>
      <c r="BD40" s="32"/>
      <c r="BE40" s="29">
        <f t="shared" si="15"/>
        <v>0</v>
      </c>
      <c r="BF40" s="30"/>
      <c r="BG40" s="32"/>
      <c r="BH40" s="29">
        <f t="shared" si="16"/>
        <v>0</v>
      </c>
      <c r="BI40" s="30"/>
      <c r="BJ40" s="32"/>
      <c r="BK40" s="29">
        <f t="shared" si="17"/>
        <v>0</v>
      </c>
      <c r="BL40" s="30"/>
      <c r="BM40" s="32"/>
      <c r="BN40" s="29">
        <f t="shared" si="18"/>
        <v>0</v>
      </c>
      <c r="BO40" s="30"/>
      <c r="BP40" s="24">
        <f t="shared" si="24"/>
        <v>10</v>
      </c>
      <c r="BQ40" s="24">
        <f t="shared" si="20"/>
        <v>0</v>
      </c>
    </row>
    <row r="41" ht="15.75" customHeight="1">
      <c r="A41" s="1"/>
      <c r="B41" s="32"/>
      <c r="C41" s="32"/>
      <c r="D41" s="42" t="s">
        <v>88</v>
      </c>
      <c r="E41" s="28" t="s">
        <v>75</v>
      </c>
      <c r="F41" s="28" t="s">
        <v>85</v>
      </c>
      <c r="G41" s="27">
        <v>8.0</v>
      </c>
      <c r="H41" s="28">
        <v>2.0</v>
      </c>
      <c r="I41" s="29">
        <f t="shared" si="1"/>
        <v>6</v>
      </c>
      <c r="J41" s="30"/>
      <c r="K41" s="28">
        <v>2.0</v>
      </c>
      <c r="L41" s="29">
        <f t="shared" si="21"/>
        <v>4</v>
      </c>
      <c r="M41" s="30"/>
      <c r="N41" s="28">
        <v>2.0</v>
      </c>
      <c r="O41" s="29">
        <f t="shared" si="22"/>
        <v>2</v>
      </c>
      <c r="P41" s="30"/>
      <c r="Q41" s="28">
        <v>2.0</v>
      </c>
      <c r="R41" s="29">
        <f t="shared" si="23"/>
        <v>0</v>
      </c>
      <c r="S41" s="30"/>
      <c r="T41" s="32"/>
      <c r="U41" s="29">
        <f t="shared" si="3"/>
        <v>0</v>
      </c>
      <c r="V41" s="30"/>
      <c r="W41" s="32"/>
      <c r="X41" s="29">
        <f t="shared" si="4"/>
        <v>0</v>
      </c>
      <c r="Y41" s="30"/>
      <c r="Z41" s="32"/>
      <c r="AA41" s="29">
        <f t="shared" si="5"/>
        <v>0</v>
      </c>
      <c r="AB41" s="30"/>
      <c r="AC41" s="32"/>
      <c r="AD41" s="29">
        <f t="shared" si="6"/>
        <v>0</v>
      </c>
      <c r="AE41" s="30"/>
      <c r="AF41" s="32"/>
      <c r="AG41" s="29">
        <f t="shared" si="7"/>
        <v>0</v>
      </c>
      <c r="AH41" s="30"/>
      <c r="AI41" s="32"/>
      <c r="AJ41" s="29">
        <f t="shared" si="8"/>
        <v>0</v>
      </c>
      <c r="AK41" s="30"/>
      <c r="AL41" s="32"/>
      <c r="AM41" s="29">
        <f t="shared" si="9"/>
        <v>0</v>
      </c>
      <c r="AN41" s="30"/>
      <c r="AO41" s="32"/>
      <c r="AP41" s="29">
        <f t="shared" si="10"/>
        <v>0</v>
      </c>
      <c r="AQ41" s="30"/>
      <c r="AR41" s="32"/>
      <c r="AS41" s="29">
        <f t="shared" si="11"/>
        <v>0</v>
      </c>
      <c r="AT41" s="30"/>
      <c r="AU41" s="32"/>
      <c r="AV41" s="29">
        <f t="shared" si="12"/>
        <v>0</v>
      </c>
      <c r="AW41" s="30"/>
      <c r="AX41" s="32"/>
      <c r="AY41" s="29">
        <f t="shared" si="13"/>
        <v>0</v>
      </c>
      <c r="AZ41" s="30"/>
      <c r="BA41" s="32"/>
      <c r="BB41" s="29">
        <f t="shared" si="14"/>
        <v>0</v>
      </c>
      <c r="BC41" s="30"/>
      <c r="BD41" s="32"/>
      <c r="BE41" s="29">
        <f t="shared" si="15"/>
        <v>0</v>
      </c>
      <c r="BF41" s="30"/>
      <c r="BG41" s="32"/>
      <c r="BH41" s="29">
        <f t="shared" si="16"/>
        <v>0</v>
      </c>
      <c r="BI41" s="30"/>
      <c r="BJ41" s="32"/>
      <c r="BK41" s="29">
        <f t="shared" si="17"/>
        <v>0</v>
      </c>
      <c r="BL41" s="30"/>
      <c r="BM41" s="32"/>
      <c r="BN41" s="29">
        <f t="shared" si="18"/>
        <v>0</v>
      </c>
      <c r="BO41" s="30"/>
      <c r="BP41" s="24">
        <f t="shared" si="24"/>
        <v>8</v>
      </c>
      <c r="BQ41" s="24">
        <f t="shared" si="20"/>
        <v>0</v>
      </c>
    </row>
    <row r="42" ht="15.75" customHeight="1">
      <c r="A42" s="1"/>
      <c r="B42" s="32"/>
      <c r="C42" s="32"/>
      <c r="D42" s="42" t="s">
        <v>89</v>
      </c>
      <c r="E42" s="28" t="s">
        <v>75</v>
      </c>
      <c r="F42" s="28" t="s">
        <v>37</v>
      </c>
      <c r="G42" s="27">
        <v>6.0</v>
      </c>
      <c r="H42" s="28">
        <v>2.0</v>
      </c>
      <c r="I42" s="29">
        <f t="shared" si="1"/>
        <v>4</v>
      </c>
      <c r="J42" s="30"/>
      <c r="K42" s="28">
        <v>2.0</v>
      </c>
      <c r="L42" s="29">
        <f t="shared" si="21"/>
        <v>2</v>
      </c>
      <c r="M42" s="30"/>
      <c r="N42" s="28">
        <v>2.0</v>
      </c>
      <c r="O42" s="29">
        <f t="shared" si="22"/>
        <v>0</v>
      </c>
      <c r="P42" s="30"/>
      <c r="Q42" s="28">
        <v>2.0</v>
      </c>
      <c r="R42" s="29">
        <f t="shared" si="23"/>
        <v>-2</v>
      </c>
      <c r="S42" s="30"/>
      <c r="T42" s="32"/>
      <c r="U42" s="29">
        <f t="shared" si="3"/>
        <v>-2</v>
      </c>
      <c r="V42" s="30"/>
      <c r="W42" s="32"/>
      <c r="X42" s="29">
        <f t="shared" si="4"/>
        <v>-2</v>
      </c>
      <c r="Y42" s="30"/>
      <c r="Z42" s="32"/>
      <c r="AA42" s="29">
        <f t="shared" si="5"/>
        <v>-2</v>
      </c>
      <c r="AB42" s="30"/>
      <c r="AC42" s="32"/>
      <c r="AD42" s="29">
        <f t="shared" si="6"/>
        <v>-2</v>
      </c>
      <c r="AE42" s="30"/>
      <c r="AF42" s="32"/>
      <c r="AG42" s="29">
        <f t="shared" si="7"/>
        <v>-2</v>
      </c>
      <c r="AH42" s="30"/>
      <c r="AI42" s="32"/>
      <c r="AJ42" s="29">
        <f t="shared" si="8"/>
        <v>-2</v>
      </c>
      <c r="AK42" s="30"/>
      <c r="AL42" s="32"/>
      <c r="AM42" s="29">
        <f t="shared" si="9"/>
        <v>-2</v>
      </c>
      <c r="AN42" s="30"/>
      <c r="AO42" s="32"/>
      <c r="AP42" s="29">
        <f t="shared" si="10"/>
        <v>-2</v>
      </c>
      <c r="AQ42" s="30"/>
      <c r="AR42" s="32"/>
      <c r="AS42" s="29">
        <f t="shared" si="11"/>
        <v>-2</v>
      </c>
      <c r="AT42" s="30"/>
      <c r="AU42" s="32"/>
      <c r="AV42" s="29">
        <f t="shared" si="12"/>
        <v>-2</v>
      </c>
      <c r="AW42" s="30"/>
      <c r="AX42" s="32"/>
      <c r="AY42" s="29">
        <f t="shared" si="13"/>
        <v>-2</v>
      </c>
      <c r="AZ42" s="30"/>
      <c r="BA42" s="32"/>
      <c r="BB42" s="29">
        <f t="shared" si="14"/>
        <v>-2</v>
      </c>
      <c r="BC42" s="30"/>
      <c r="BD42" s="32"/>
      <c r="BE42" s="29">
        <f t="shared" si="15"/>
        <v>-2</v>
      </c>
      <c r="BF42" s="30"/>
      <c r="BG42" s="32"/>
      <c r="BH42" s="29">
        <f t="shared" si="16"/>
        <v>-2</v>
      </c>
      <c r="BI42" s="30"/>
      <c r="BJ42" s="32"/>
      <c r="BK42" s="29">
        <f t="shared" si="17"/>
        <v>-2</v>
      </c>
      <c r="BL42" s="30"/>
      <c r="BM42" s="32"/>
      <c r="BN42" s="29">
        <f t="shared" si="18"/>
        <v>-2</v>
      </c>
      <c r="BO42" s="30"/>
      <c r="BP42" s="24">
        <f t="shared" si="24"/>
        <v>8</v>
      </c>
      <c r="BQ42" s="24">
        <f t="shared" si="20"/>
        <v>-2</v>
      </c>
    </row>
    <row r="43" ht="15.75" customHeight="1">
      <c r="A43" s="1"/>
      <c r="B43" s="32"/>
      <c r="C43" s="32"/>
      <c r="D43" s="42" t="s">
        <v>90</v>
      </c>
      <c r="E43" s="28" t="s">
        <v>36</v>
      </c>
      <c r="F43" s="28" t="s">
        <v>37</v>
      </c>
      <c r="G43" s="27">
        <v>4.0</v>
      </c>
      <c r="H43" s="28">
        <v>2.0</v>
      </c>
      <c r="I43" s="29">
        <f t="shared" si="1"/>
        <v>2</v>
      </c>
      <c r="J43" s="30"/>
      <c r="K43" s="28">
        <v>2.0</v>
      </c>
      <c r="L43" s="29">
        <f t="shared" si="21"/>
        <v>0</v>
      </c>
      <c r="M43" s="30"/>
      <c r="N43" s="28">
        <v>2.0</v>
      </c>
      <c r="O43" s="29">
        <f t="shared" si="22"/>
        <v>-2</v>
      </c>
      <c r="P43" s="30"/>
      <c r="Q43" s="32"/>
      <c r="R43" s="29">
        <f t="shared" si="23"/>
        <v>-2</v>
      </c>
      <c r="S43" s="30"/>
      <c r="T43" s="32"/>
      <c r="U43" s="29">
        <f t="shared" si="3"/>
        <v>-2</v>
      </c>
      <c r="V43" s="30"/>
      <c r="W43" s="32"/>
      <c r="X43" s="29">
        <f t="shared" si="4"/>
        <v>-2</v>
      </c>
      <c r="Y43" s="30"/>
      <c r="Z43" s="32"/>
      <c r="AA43" s="29">
        <f t="shared" si="5"/>
        <v>-2</v>
      </c>
      <c r="AB43" s="30"/>
      <c r="AC43" s="32"/>
      <c r="AD43" s="29">
        <f t="shared" si="6"/>
        <v>-2</v>
      </c>
      <c r="AE43" s="30"/>
      <c r="AF43" s="32"/>
      <c r="AG43" s="29">
        <f t="shared" si="7"/>
        <v>-2</v>
      </c>
      <c r="AH43" s="30"/>
      <c r="AI43" s="32"/>
      <c r="AJ43" s="29">
        <f t="shared" si="8"/>
        <v>-2</v>
      </c>
      <c r="AK43" s="30"/>
      <c r="AL43" s="32"/>
      <c r="AM43" s="29">
        <f t="shared" si="9"/>
        <v>-2</v>
      </c>
      <c r="AN43" s="30"/>
      <c r="AO43" s="32"/>
      <c r="AP43" s="29">
        <f t="shared" si="10"/>
        <v>-2</v>
      </c>
      <c r="AQ43" s="30"/>
      <c r="AR43" s="32"/>
      <c r="AS43" s="29">
        <f t="shared" si="11"/>
        <v>-2</v>
      </c>
      <c r="AT43" s="30"/>
      <c r="AU43" s="32"/>
      <c r="AV43" s="29">
        <f t="shared" si="12"/>
        <v>-2</v>
      </c>
      <c r="AW43" s="30"/>
      <c r="AX43" s="32"/>
      <c r="AY43" s="29">
        <f t="shared" si="13"/>
        <v>-2</v>
      </c>
      <c r="AZ43" s="30"/>
      <c r="BA43" s="32"/>
      <c r="BB43" s="29">
        <f t="shared" si="14"/>
        <v>-2</v>
      </c>
      <c r="BC43" s="30"/>
      <c r="BD43" s="32"/>
      <c r="BE43" s="29">
        <f t="shared" si="15"/>
        <v>-2</v>
      </c>
      <c r="BF43" s="30"/>
      <c r="BG43" s="32"/>
      <c r="BH43" s="29">
        <f t="shared" si="16"/>
        <v>-2</v>
      </c>
      <c r="BI43" s="30"/>
      <c r="BJ43" s="32"/>
      <c r="BK43" s="29">
        <f t="shared" si="17"/>
        <v>-2</v>
      </c>
      <c r="BL43" s="30"/>
      <c r="BM43" s="32"/>
      <c r="BN43" s="29">
        <f t="shared" si="18"/>
        <v>-2</v>
      </c>
      <c r="BO43" s="30"/>
      <c r="BP43" s="24">
        <f t="shared" si="24"/>
        <v>6</v>
      </c>
      <c r="BQ43" s="24">
        <f t="shared" si="20"/>
        <v>-2</v>
      </c>
    </row>
    <row r="44" ht="15.75" customHeight="1">
      <c r="A44" s="1"/>
      <c r="B44" s="32"/>
      <c r="C44" s="32"/>
      <c r="D44" s="42" t="s">
        <v>91</v>
      </c>
      <c r="E44" s="42" t="s">
        <v>36</v>
      </c>
      <c r="F44" s="28" t="s">
        <v>37</v>
      </c>
      <c r="G44" s="27">
        <v>4.0</v>
      </c>
      <c r="H44" s="32"/>
      <c r="I44" s="29">
        <f t="shared" si="1"/>
        <v>4</v>
      </c>
      <c r="J44" s="30"/>
      <c r="K44" s="32"/>
      <c r="L44" s="29">
        <f t="shared" si="21"/>
        <v>4</v>
      </c>
      <c r="M44" s="30"/>
      <c r="N44" s="32"/>
      <c r="O44" s="29">
        <f t="shared" si="22"/>
        <v>4</v>
      </c>
      <c r="P44" s="30"/>
      <c r="Q44" s="32"/>
      <c r="R44" s="29">
        <f t="shared" si="23"/>
        <v>4</v>
      </c>
      <c r="S44" s="30"/>
      <c r="T44" s="32"/>
      <c r="U44" s="29">
        <f t="shared" si="3"/>
        <v>4</v>
      </c>
      <c r="V44" s="30"/>
      <c r="W44" s="32"/>
      <c r="X44" s="29">
        <f t="shared" si="4"/>
        <v>4</v>
      </c>
      <c r="Y44" s="30"/>
      <c r="Z44" s="32"/>
      <c r="AA44" s="29">
        <f t="shared" si="5"/>
        <v>4</v>
      </c>
      <c r="AB44" s="30"/>
      <c r="AC44" s="32"/>
      <c r="AD44" s="29">
        <f t="shared" si="6"/>
        <v>4</v>
      </c>
      <c r="AE44" s="30"/>
      <c r="AF44" s="32"/>
      <c r="AG44" s="29">
        <f t="shared" si="7"/>
        <v>4</v>
      </c>
      <c r="AH44" s="30"/>
      <c r="AI44" s="32"/>
      <c r="AJ44" s="29">
        <f t="shared" si="8"/>
        <v>4</v>
      </c>
      <c r="AK44" s="30"/>
      <c r="AL44" s="32"/>
      <c r="AM44" s="29">
        <f t="shared" si="9"/>
        <v>4</v>
      </c>
      <c r="AN44" s="30"/>
      <c r="AO44" s="32"/>
      <c r="AP44" s="29">
        <f t="shared" si="10"/>
        <v>4</v>
      </c>
      <c r="AQ44" s="30"/>
      <c r="AR44" s="32"/>
      <c r="AS44" s="29">
        <f t="shared" si="11"/>
        <v>4</v>
      </c>
      <c r="AT44" s="30"/>
      <c r="AU44" s="32"/>
      <c r="AV44" s="29">
        <f t="shared" si="12"/>
        <v>4</v>
      </c>
      <c r="AW44" s="30"/>
      <c r="AX44" s="32"/>
      <c r="AY44" s="29">
        <f t="shared" si="13"/>
        <v>4</v>
      </c>
      <c r="AZ44" s="30"/>
      <c r="BA44" s="32"/>
      <c r="BB44" s="29">
        <f t="shared" si="14"/>
        <v>4</v>
      </c>
      <c r="BC44" s="30"/>
      <c r="BD44" s="32"/>
      <c r="BE44" s="29">
        <f t="shared" si="15"/>
        <v>4</v>
      </c>
      <c r="BF44" s="30"/>
      <c r="BG44" s="32"/>
      <c r="BH44" s="29">
        <f t="shared" si="16"/>
        <v>4</v>
      </c>
      <c r="BI44" s="30"/>
      <c r="BJ44" s="32"/>
      <c r="BK44" s="29">
        <f t="shared" si="17"/>
        <v>4</v>
      </c>
      <c r="BL44" s="30"/>
      <c r="BM44" s="32"/>
      <c r="BN44" s="29">
        <f t="shared" si="18"/>
        <v>4</v>
      </c>
      <c r="BO44" s="30"/>
      <c r="BP44" s="24">
        <f t="shared" si="24"/>
        <v>0</v>
      </c>
      <c r="BQ44" s="24">
        <f t="shared" si="20"/>
        <v>4</v>
      </c>
    </row>
    <row r="45" ht="15.75" customHeight="1">
      <c r="A45" s="12"/>
      <c r="B45" s="36" t="s">
        <v>92</v>
      </c>
      <c r="C45" s="36" t="s">
        <v>93</v>
      </c>
      <c r="D45" s="36" t="s">
        <v>94</v>
      </c>
      <c r="E45" s="36" t="s">
        <v>40</v>
      </c>
      <c r="F45" s="38"/>
      <c r="G45" s="39">
        <v>40.0</v>
      </c>
      <c r="H45" s="38"/>
      <c r="I45" s="40">
        <f t="shared" si="1"/>
        <v>40</v>
      </c>
      <c r="J45" s="41"/>
      <c r="K45" s="38"/>
      <c r="L45" s="40">
        <f t="shared" si="21"/>
        <v>40</v>
      </c>
      <c r="M45" s="41"/>
      <c r="N45" s="38"/>
      <c r="O45" s="40">
        <f t="shared" si="22"/>
        <v>40</v>
      </c>
      <c r="P45" s="41"/>
      <c r="Q45" s="38"/>
      <c r="R45" s="40">
        <f t="shared" si="23"/>
        <v>40</v>
      </c>
      <c r="S45" s="41"/>
      <c r="T45" s="38"/>
      <c r="U45" s="40">
        <f t="shared" si="3"/>
        <v>40</v>
      </c>
      <c r="V45" s="41"/>
      <c r="W45" s="38"/>
      <c r="X45" s="40">
        <f t="shared" si="4"/>
        <v>40</v>
      </c>
      <c r="Y45" s="41"/>
      <c r="Z45" s="38"/>
      <c r="AA45" s="40">
        <f t="shared" si="5"/>
        <v>40</v>
      </c>
      <c r="AB45" s="41"/>
      <c r="AC45" s="38"/>
      <c r="AD45" s="40">
        <f t="shared" si="6"/>
        <v>40</v>
      </c>
      <c r="AE45" s="41"/>
      <c r="AF45" s="38"/>
      <c r="AG45" s="40">
        <f t="shared" si="7"/>
        <v>40</v>
      </c>
      <c r="AH45" s="41"/>
      <c r="AI45" s="38"/>
      <c r="AJ45" s="40">
        <f t="shared" si="8"/>
        <v>40</v>
      </c>
      <c r="AK45" s="41"/>
      <c r="AL45" s="38"/>
      <c r="AM45" s="40">
        <f t="shared" si="9"/>
        <v>40</v>
      </c>
      <c r="AN45" s="41"/>
      <c r="AO45" s="38"/>
      <c r="AP45" s="40">
        <f t="shared" si="10"/>
        <v>40</v>
      </c>
      <c r="AQ45" s="41"/>
      <c r="AR45" s="38"/>
      <c r="AS45" s="40">
        <f t="shared" si="11"/>
        <v>40</v>
      </c>
      <c r="AT45" s="41"/>
      <c r="AU45" s="38"/>
      <c r="AV45" s="40">
        <f t="shared" si="12"/>
        <v>40</v>
      </c>
      <c r="AW45" s="41"/>
      <c r="AX45" s="38"/>
      <c r="AY45" s="40">
        <f t="shared" si="13"/>
        <v>40</v>
      </c>
      <c r="AZ45" s="41"/>
      <c r="BA45" s="38"/>
      <c r="BB45" s="40">
        <f t="shared" si="14"/>
        <v>40</v>
      </c>
      <c r="BC45" s="41"/>
      <c r="BD45" s="38"/>
      <c r="BE45" s="40">
        <f t="shared" si="15"/>
        <v>40</v>
      </c>
      <c r="BF45" s="41"/>
      <c r="BG45" s="38"/>
      <c r="BH45" s="40">
        <f t="shared" si="16"/>
        <v>40</v>
      </c>
      <c r="BI45" s="41"/>
      <c r="BJ45" s="38"/>
      <c r="BK45" s="40">
        <f t="shared" si="17"/>
        <v>40</v>
      </c>
      <c r="BL45" s="41"/>
      <c r="BM45" s="38"/>
      <c r="BN45" s="40">
        <f t="shared" si="18"/>
        <v>40</v>
      </c>
      <c r="BO45" s="41"/>
      <c r="BP45" s="18">
        <f t="shared" si="24"/>
        <v>0</v>
      </c>
      <c r="BQ45" s="18">
        <f t="shared" si="20"/>
        <v>40</v>
      </c>
    </row>
    <row r="46" ht="15.75" customHeight="1">
      <c r="A46" s="1"/>
      <c r="B46" s="32"/>
      <c r="C46" s="32"/>
      <c r="D46" s="42" t="s">
        <v>95</v>
      </c>
      <c r="E46" s="42" t="s">
        <v>47</v>
      </c>
      <c r="F46" s="28" t="s">
        <v>37</v>
      </c>
      <c r="G46" s="27">
        <v>10.0</v>
      </c>
      <c r="H46" s="28">
        <v>2.0</v>
      </c>
      <c r="I46" s="29">
        <f t="shared" si="1"/>
        <v>8</v>
      </c>
      <c r="J46" s="30"/>
      <c r="K46" s="28">
        <v>2.0</v>
      </c>
      <c r="L46" s="29">
        <f t="shared" si="21"/>
        <v>6</v>
      </c>
      <c r="M46" s="30"/>
      <c r="N46" s="28">
        <v>2.0</v>
      </c>
      <c r="O46" s="29">
        <f t="shared" si="22"/>
        <v>4</v>
      </c>
      <c r="P46" s="30"/>
      <c r="Q46" s="28">
        <v>2.0</v>
      </c>
      <c r="R46" s="29">
        <f t="shared" si="23"/>
        <v>2</v>
      </c>
      <c r="S46" s="30"/>
      <c r="T46" s="28">
        <v>2.0</v>
      </c>
      <c r="U46" s="29">
        <f t="shared" si="3"/>
        <v>0</v>
      </c>
      <c r="V46" s="30"/>
      <c r="W46" s="32"/>
      <c r="X46" s="29">
        <f t="shared" si="4"/>
        <v>0</v>
      </c>
      <c r="Y46" s="30"/>
      <c r="Z46" s="32"/>
      <c r="AA46" s="29">
        <f t="shared" si="5"/>
        <v>0</v>
      </c>
      <c r="AB46" s="30"/>
      <c r="AC46" s="32"/>
      <c r="AD46" s="29">
        <f t="shared" si="6"/>
        <v>0</v>
      </c>
      <c r="AE46" s="30"/>
      <c r="AF46" s="32"/>
      <c r="AG46" s="29">
        <f t="shared" si="7"/>
        <v>0</v>
      </c>
      <c r="AH46" s="30"/>
      <c r="AI46" s="32"/>
      <c r="AJ46" s="29">
        <f t="shared" si="8"/>
        <v>0</v>
      </c>
      <c r="AK46" s="30"/>
      <c r="AL46" s="32"/>
      <c r="AM46" s="29">
        <f t="shared" si="9"/>
        <v>0</v>
      </c>
      <c r="AN46" s="30"/>
      <c r="AO46" s="32"/>
      <c r="AP46" s="29">
        <f t="shared" si="10"/>
        <v>0</v>
      </c>
      <c r="AQ46" s="30"/>
      <c r="AR46" s="32"/>
      <c r="AS46" s="29">
        <f t="shared" si="11"/>
        <v>0</v>
      </c>
      <c r="AT46" s="30"/>
      <c r="AU46" s="32"/>
      <c r="AV46" s="29">
        <f t="shared" si="12"/>
        <v>0</v>
      </c>
      <c r="AW46" s="30"/>
      <c r="AX46" s="32"/>
      <c r="AY46" s="29">
        <f t="shared" si="13"/>
        <v>0</v>
      </c>
      <c r="AZ46" s="30"/>
      <c r="BA46" s="32"/>
      <c r="BB46" s="29">
        <f t="shared" si="14"/>
        <v>0</v>
      </c>
      <c r="BC46" s="30"/>
      <c r="BD46" s="32"/>
      <c r="BE46" s="29">
        <f t="shared" si="15"/>
        <v>0</v>
      </c>
      <c r="BF46" s="30"/>
      <c r="BG46" s="32"/>
      <c r="BH46" s="29">
        <f t="shared" si="16"/>
        <v>0</v>
      </c>
      <c r="BI46" s="30"/>
      <c r="BJ46" s="32"/>
      <c r="BK46" s="29">
        <f t="shared" si="17"/>
        <v>0</v>
      </c>
      <c r="BL46" s="30"/>
      <c r="BM46" s="32"/>
      <c r="BN46" s="29">
        <f t="shared" si="18"/>
        <v>0</v>
      </c>
      <c r="BO46" s="30"/>
      <c r="BP46" s="24">
        <f t="shared" si="24"/>
        <v>10</v>
      </c>
      <c r="BQ46" s="24">
        <f t="shared" si="20"/>
        <v>0</v>
      </c>
    </row>
    <row r="47" ht="15.75" customHeight="1">
      <c r="A47" s="1"/>
      <c r="B47" s="32"/>
      <c r="C47" s="32"/>
      <c r="D47" s="42" t="s">
        <v>96</v>
      </c>
      <c r="E47" s="42" t="s">
        <v>47</v>
      </c>
      <c r="F47" s="28" t="s">
        <v>37</v>
      </c>
      <c r="G47" s="27">
        <v>8.0</v>
      </c>
      <c r="H47" s="28">
        <v>2.0</v>
      </c>
      <c r="I47" s="29">
        <f t="shared" si="1"/>
        <v>6</v>
      </c>
      <c r="J47" s="30"/>
      <c r="K47" s="28">
        <v>2.0</v>
      </c>
      <c r="L47" s="29">
        <f t="shared" si="21"/>
        <v>4</v>
      </c>
      <c r="M47" s="30"/>
      <c r="N47" s="28">
        <v>2.0</v>
      </c>
      <c r="O47" s="29">
        <f t="shared" si="22"/>
        <v>2</v>
      </c>
      <c r="P47" s="30"/>
      <c r="Q47" s="28">
        <v>2.0</v>
      </c>
      <c r="R47" s="29">
        <f t="shared" si="23"/>
        <v>0</v>
      </c>
      <c r="S47" s="30"/>
      <c r="T47" s="28"/>
      <c r="U47" s="29">
        <f t="shared" si="3"/>
        <v>0</v>
      </c>
      <c r="V47" s="30"/>
      <c r="W47" s="32"/>
      <c r="X47" s="29">
        <f t="shared" si="4"/>
        <v>0</v>
      </c>
      <c r="Y47" s="30"/>
      <c r="Z47" s="32"/>
      <c r="AA47" s="29">
        <f t="shared" si="5"/>
        <v>0</v>
      </c>
      <c r="AB47" s="30"/>
      <c r="AC47" s="32"/>
      <c r="AD47" s="29">
        <f t="shared" si="6"/>
        <v>0</v>
      </c>
      <c r="AE47" s="30"/>
      <c r="AF47" s="32"/>
      <c r="AG47" s="29">
        <f t="shared" si="7"/>
        <v>0</v>
      </c>
      <c r="AH47" s="30"/>
      <c r="AI47" s="32"/>
      <c r="AJ47" s="29">
        <f t="shared" si="8"/>
        <v>0</v>
      </c>
      <c r="AK47" s="30"/>
      <c r="AL47" s="32"/>
      <c r="AM47" s="29">
        <f t="shared" si="9"/>
        <v>0</v>
      </c>
      <c r="AN47" s="30"/>
      <c r="AO47" s="32"/>
      <c r="AP47" s="29">
        <f t="shared" si="10"/>
        <v>0</v>
      </c>
      <c r="AQ47" s="30"/>
      <c r="AR47" s="32"/>
      <c r="AS47" s="29">
        <f t="shared" si="11"/>
        <v>0</v>
      </c>
      <c r="AT47" s="30"/>
      <c r="AU47" s="32"/>
      <c r="AV47" s="29">
        <f t="shared" si="12"/>
        <v>0</v>
      </c>
      <c r="AW47" s="30"/>
      <c r="AX47" s="32"/>
      <c r="AY47" s="29">
        <f t="shared" si="13"/>
        <v>0</v>
      </c>
      <c r="AZ47" s="30"/>
      <c r="BA47" s="32"/>
      <c r="BB47" s="29">
        <f t="shared" si="14"/>
        <v>0</v>
      </c>
      <c r="BC47" s="30"/>
      <c r="BD47" s="32"/>
      <c r="BE47" s="29">
        <f t="shared" si="15"/>
        <v>0</v>
      </c>
      <c r="BF47" s="30"/>
      <c r="BG47" s="32"/>
      <c r="BH47" s="29">
        <f t="shared" si="16"/>
        <v>0</v>
      </c>
      <c r="BI47" s="30"/>
      <c r="BJ47" s="32"/>
      <c r="BK47" s="29">
        <f t="shared" si="17"/>
        <v>0</v>
      </c>
      <c r="BL47" s="30"/>
      <c r="BM47" s="32"/>
      <c r="BN47" s="29">
        <f t="shared" si="18"/>
        <v>0</v>
      </c>
      <c r="BO47" s="30"/>
      <c r="BP47" s="24">
        <f t="shared" si="24"/>
        <v>8</v>
      </c>
      <c r="BQ47" s="24">
        <f t="shared" si="20"/>
        <v>0</v>
      </c>
    </row>
    <row r="48" ht="15.75" customHeight="1">
      <c r="A48" s="1"/>
      <c r="B48" s="32"/>
      <c r="C48" s="32"/>
      <c r="D48" s="42" t="s">
        <v>97</v>
      </c>
      <c r="E48" s="42" t="s">
        <v>36</v>
      </c>
      <c r="F48" s="28" t="s">
        <v>37</v>
      </c>
      <c r="G48" s="27">
        <v>6.0</v>
      </c>
      <c r="H48" s="28">
        <v>2.0</v>
      </c>
      <c r="I48" s="29">
        <f t="shared" si="1"/>
        <v>4</v>
      </c>
      <c r="J48" s="30"/>
      <c r="K48" s="28">
        <v>2.0</v>
      </c>
      <c r="L48" s="29">
        <f t="shared" si="21"/>
        <v>2</v>
      </c>
      <c r="M48" s="30"/>
      <c r="N48" s="28">
        <v>2.0</v>
      </c>
      <c r="O48" s="29">
        <f t="shared" si="22"/>
        <v>0</v>
      </c>
      <c r="P48" s="30"/>
      <c r="Q48" s="32"/>
      <c r="R48" s="29">
        <f t="shared" si="23"/>
        <v>0</v>
      </c>
      <c r="S48" s="30"/>
      <c r="T48" s="32"/>
      <c r="U48" s="29">
        <f t="shared" si="3"/>
        <v>0</v>
      </c>
      <c r="V48" s="30"/>
      <c r="W48" s="32"/>
      <c r="X48" s="29">
        <f t="shared" si="4"/>
        <v>0</v>
      </c>
      <c r="Y48" s="30"/>
      <c r="Z48" s="32"/>
      <c r="AA48" s="29">
        <f t="shared" si="5"/>
        <v>0</v>
      </c>
      <c r="AB48" s="30"/>
      <c r="AC48" s="32"/>
      <c r="AD48" s="29">
        <f t="shared" si="6"/>
        <v>0</v>
      </c>
      <c r="AE48" s="30"/>
      <c r="AF48" s="32"/>
      <c r="AG48" s="29">
        <f t="shared" si="7"/>
        <v>0</v>
      </c>
      <c r="AH48" s="30"/>
      <c r="AI48" s="32"/>
      <c r="AJ48" s="29">
        <f t="shared" si="8"/>
        <v>0</v>
      </c>
      <c r="AK48" s="30"/>
      <c r="AL48" s="32"/>
      <c r="AM48" s="29">
        <f t="shared" si="9"/>
        <v>0</v>
      </c>
      <c r="AN48" s="30"/>
      <c r="AO48" s="32"/>
      <c r="AP48" s="29">
        <f t="shared" si="10"/>
        <v>0</v>
      </c>
      <c r="AQ48" s="30"/>
      <c r="AR48" s="32"/>
      <c r="AS48" s="29">
        <f t="shared" si="11"/>
        <v>0</v>
      </c>
      <c r="AT48" s="30"/>
      <c r="AU48" s="32"/>
      <c r="AV48" s="29">
        <f t="shared" si="12"/>
        <v>0</v>
      </c>
      <c r="AW48" s="30"/>
      <c r="AX48" s="32"/>
      <c r="AY48" s="29">
        <f t="shared" si="13"/>
        <v>0</v>
      </c>
      <c r="AZ48" s="30"/>
      <c r="BA48" s="32"/>
      <c r="BB48" s="29">
        <f t="shared" si="14"/>
        <v>0</v>
      </c>
      <c r="BC48" s="30"/>
      <c r="BD48" s="32"/>
      <c r="BE48" s="29">
        <f t="shared" si="15"/>
        <v>0</v>
      </c>
      <c r="BF48" s="30"/>
      <c r="BG48" s="32"/>
      <c r="BH48" s="29">
        <f t="shared" si="16"/>
        <v>0</v>
      </c>
      <c r="BI48" s="30"/>
      <c r="BJ48" s="32"/>
      <c r="BK48" s="29">
        <f t="shared" si="17"/>
        <v>0</v>
      </c>
      <c r="BL48" s="30"/>
      <c r="BM48" s="32"/>
      <c r="BN48" s="29">
        <f t="shared" si="18"/>
        <v>0</v>
      </c>
      <c r="BO48" s="30"/>
      <c r="BP48" s="24">
        <f t="shared" si="24"/>
        <v>6</v>
      </c>
      <c r="BQ48" s="24">
        <f t="shared" si="20"/>
        <v>0</v>
      </c>
    </row>
    <row r="49" ht="15.75" customHeight="1">
      <c r="A49" s="1"/>
      <c r="B49" s="32"/>
      <c r="C49" s="32"/>
      <c r="D49" s="42" t="s">
        <v>98</v>
      </c>
      <c r="E49" s="42" t="s">
        <v>99</v>
      </c>
      <c r="F49" s="28" t="s">
        <v>37</v>
      </c>
      <c r="G49" s="27">
        <v>6.0</v>
      </c>
      <c r="H49" s="28">
        <v>2.0</v>
      </c>
      <c r="I49" s="29">
        <f t="shared" si="1"/>
        <v>4</v>
      </c>
      <c r="J49" s="30"/>
      <c r="K49" s="28">
        <v>2.0</v>
      </c>
      <c r="L49" s="29">
        <f t="shared" si="21"/>
        <v>2</v>
      </c>
      <c r="M49" s="30"/>
      <c r="N49" s="28">
        <v>2.0</v>
      </c>
      <c r="O49" s="29">
        <f t="shared" si="22"/>
        <v>0</v>
      </c>
      <c r="P49" s="30"/>
      <c r="Q49" s="32"/>
      <c r="R49" s="29">
        <f t="shared" si="23"/>
        <v>0</v>
      </c>
      <c r="S49" s="30"/>
      <c r="T49" s="32"/>
      <c r="U49" s="29">
        <f t="shared" si="3"/>
        <v>0</v>
      </c>
      <c r="V49" s="30"/>
      <c r="W49" s="32"/>
      <c r="X49" s="29">
        <f t="shared" si="4"/>
        <v>0</v>
      </c>
      <c r="Y49" s="30"/>
      <c r="Z49" s="32"/>
      <c r="AA49" s="29">
        <f t="shared" si="5"/>
        <v>0</v>
      </c>
      <c r="AB49" s="30"/>
      <c r="AC49" s="32"/>
      <c r="AD49" s="29">
        <f t="shared" si="6"/>
        <v>0</v>
      </c>
      <c r="AE49" s="30"/>
      <c r="AF49" s="32"/>
      <c r="AG49" s="29">
        <f t="shared" si="7"/>
        <v>0</v>
      </c>
      <c r="AH49" s="30"/>
      <c r="AI49" s="32"/>
      <c r="AJ49" s="29">
        <f t="shared" si="8"/>
        <v>0</v>
      </c>
      <c r="AK49" s="30"/>
      <c r="AL49" s="32"/>
      <c r="AM49" s="29">
        <f t="shared" si="9"/>
        <v>0</v>
      </c>
      <c r="AN49" s="30"/>
      <c r="AO49" s="32"/>
      <c r="AP49" s="29">
        <f t="shared" si="10"/>
        <v>0</v>
      </c>
      <c r="AQ49" s="30"/>
      <c r="AR49" s="32"/>
      <c r="AS49" s="29">
        <f t="shared" si="11"/>
        <v>0</v>
      </c>
      <c r="AT49" s="30"/>
      <c r="AU49" s="32"/>
      <c r="AV49" s="29">
        <f t="shared" si="12"/>
        <v>0</v>
      </c>
      <c r="AW49" s="30"/>
      <c r="AX49" s="32"/>
      <c r="AY49" s="29">
        <f t="shared" si="13"/>
        <v>0</v>
      </c>
      <c r="AZ49" s="30"/>
      <c r="BA49" s="32"/>
      <c r="BB49" s="29">
        <f t="shared" si="14"/>
        <v>0</v>
      </c>
      <c r="BC49" s="30"/>
      <c r="BD49" s="32"/>
      <c r="BE49" s="29">
        <f t="shared" si="15"/>
        <v>0</v>
      </c>
      <c r="BF49" s="30"/>
      <c r="BG49" s="32"/>
      <c r="BH49" s="29">
        <f t="shared" si="16"/>
        <v>0</v>
      </c>
      <c r="BI49" s="30"/>
      <c r="BJ49" s="32"/>
      <c r="BK49" s="29">
        <f t="shared" si="17"/>
        <v>0</v>
      </c>
      <c r="BL49" s="30"/>
      <c r="BM49" s="32"/>
      <c r="BN49" s="29">
        <f t="shared" si="18"/>
        <v>0</v>
      </c>
      <c r="BO49" s="30"/>
      <c r="BP49" s="24">
        <f t="shared" si="24"/>
        <v>6</v>
      </c>
      <c r="BQ49" s="24">
        <f t="shared" si="20"/>
        <v>0</v>
      </c>
    </row>
    <row r="50" ht="15.75" customHeight="1">
      <c r="A50" s="1"/>
      <c r="B50" s="32"/>
      <c r="C50" s="32"/>
      <c r="D50" s="42" t="s">
        <v>100</v>
      </c>
      <c r="E50" s="28" t="s">
        <v>36</v>
      </c>
      <c r="F50" s="28" t="s">
        <v>37</v>
      </c>
      <c r="G50" s="27">
        <v>4.0</v>
      </c>
      <c r="H50" s="28">
        <v>2.0</v>
      </c>
      <c r="I50" s="29">
        <f t="shared" si="1"/>
        <v>2</v>
      </c>
      <c r="J50" s="30"/>
      <c r="K50" s="28">
        <v>2.0</v>
      </c>
      <c r="L50" s="29">
        <f t="shared" si="21"/>
        <v>0</v>
      </c>
      <c r="M50" s="30"/>
      <c r="N50" s="32"/>
      <c r="O50" s="29">
        <f t="shared" si="22"/>
        <v>0</v>
      </c>
      <c r="P50" s="30"/>
      <c r="Q50" s="32"/>
      <c r="R50" s="29">
        <f t="shared" si="23"/>
        <v>0</v>
      </c>
      <c r="S50" s="30"/>
      <c r="T50" s="32"/>
      <c r="U50" s="29">
        <f t="shared" si="3"/>
        <v>0</v>
      </c>
      <c r="V50" s="30"/>
      <c r="W50" s="32"/>
      <c r="X50" s="29">
        <f t="shared" si="4"/>
        <v>0</v>
      </c>
      <c r="Y50" s="30"/>
      <c r="Z50" s="32"/>
      <c r="AA50" s="29">
        <f t="shared" si="5"/>
        <v>0</v>
      </c>
      <c r="AB50" s="30"/>
      <c r="AC50" s="32"/>
      <c r="AD50" s="29">
        <f t="shared" si="6"/>
        <v>0</v>
      </c>
      <c r="AE50" s="30"/>
      <c r="AF50" s="32"/>
      <c r="AG50" s="29">
        <f t="shared" si="7"/>
        <v>0</v>
      </c>
      <c r="AH50" s="30"/>
      <c r="AI50" s="32"/>
      <c r="AJ50" s="29">
        <f t="shared" si="8"/>
        <v>0</v>
      </c>
      <c r="AK50" s="30"/>
      <c r="AL50" s="32"/>
      <c r="AM50" s="29">
        <f t="shared" si="9"/>
        <v>0</v>
      </c>
      <c r="AN50" s="30"/>
      <c r="AO50" s="32"/>
      <c r="AP50" s="29">
        <f t="shared" si="10"/>
        <v>0</v>
      </c>
      <c r="AQ50" s="30"/>
      <c r="AR50" s="32"/>
      <c r="AS50" s="29">
        <f t="shared" si="11"/>
        <v>0</v>
      </c>
      <c r="AT50" s="30"/>
      <c r="AU50" s="32"/>
      <c r="AV50" s="29">
        <f t="shared" si="12"/>
        <v>0</v>
      </c>
      <c r="AW50" s="30"/>
      <c r="AX50" s="32"/>
      <c r="AY50" s="29">
        <f t="shared" si="13"/>
        <v>0</v>
      </c>
      <c r="AZ50" s="30"/>
      <c r="BA50" s="32"/>
      <c r="BB50" s="29">
        <f t="shared" si="14"/>
        <v>0</v>
      </c>
      <c r="BC50" s="30"/>
      <c r="BD50" s="32"/>
      <c r="BE50" s="29">
        <f t="shared" si="15"/>
        <v>0</v>
      </c>
      <c r="BF50" s="30"/>
      <c r="BG50" s="32"/>
      <c r="BH50" s="29">
        <f t="shared" si="16"/>
        <v>0</v>
      </c>
      <c r="BI50" s="30"/>
      <c r="BJ50" s="32"/>
      <c r="BK50" s="29">
        <f t="shared" si="17"/>
        <v>0</v>
      </c>
      <c r="BL50" s="30"/>
      <c r="BM50" s="32"/>
      <c r="BN50" s="29">
        <f t="shared" si="18"/>
        <v>0</v>
      </c>
      <c r="BO50" s="30"/>
      <c r="BP50" s="24">
        <f t="shared" si="24"/>
        <v>4</v>
      </c>
      <c r="BQ50" s="24">
        <f t="shared" si="20"/>
        <v>0</v>
      </c>
    </row>
    <row r="51" ht="15.75" customHeight="1">
      <c r="A51" s="1"/>
      <c r="B51" s="32"/>
      <c r="C51" s="32"/>
      <c r="D51" s="42" t="s">
        <v>101</v>
      </c>
      <c r="E51" s="28" t="s">
        <v>36</v>
      </c>
      <c r="F51" s="28" t="s">
        <v>37</v>
      </c>
      <c r="G51" s="27">
        <v>6.0</v>
      </c>
      <c r="H51" s="28">
        <v>2.0</v>
      </c>
      <c r="I51" s="29">
        <f t="shared" si="1"/>
        <v>4</v>
      </c>
      <c r="J51" s="30"/>
      <c r="K51" s="28">
        <v>2.0</v>
      </c>
      <c r="L51" s="29">
        <f t="shared" si="21"/>
        <v>2</v>
      </c>
      <c r="M51" s="30"/>
      <c r="N51" s="28">
        <v>2.0</v>
      </c>
      <c r="O51" s="29">
        <f t="shared" si="22"/>
        <v>0</v>
      </c>
      <c r="P51" s="30"/>
      <c r="Q51" s="32"/>
      <c r="R51" s="29">
        <f t="shared" si="23"/>
        <v>0</v>
      </c>
      <c r="S51" s="30"/>
      <c r="T51" s="32"/>
      <c r="U51" s="29">
        <f t="shared" si="3"/>
        <v>0</v>
      </c>
      <c r="V51" s="30"/>
      <c r="W51" s="32"/>
      <c r="X51" s="29">
        <f t="shared" si="4"/>
        <v>0</v>
      </c>
      <c r="Y51" s="30"/>
      <c r="Z51" s="32"/>
      <c r="AA51" s="29">
        <f t="shared" si="5"/>
        <v>0</v>
      </c>
      <c r="AB51" s="30"/>
      <c r="AC51" s="32"/>
      <c r="AD51" s="29">
        <f t="shared" si="6"/>
        <v>0</v>
      </c>
      <c r="AE51" s="30"/>
      <c r="AF51" s="32"/>
      <c r="AG51" s="29">
        <f t="shared" si="7"/>
        <v>0</v>
      </c>
      <c r="AH51" s="30"/>
      <c r="AI51" s="32"/>
      <c r="AJ51" s="29">
        <f t="shared" si="8"/>
        <v>0</v>
      </c>
      <c r="AK51" s="30"/>
      <c r="AL51" s="32"/>
      <c r="AM51" s="29">
        <f t="shared" si="9"/>
        <v>0</v>
      </c>
      <c r="AN51" s="30"/>
      <c r="AO51" s="32"/>
      <c r="AP51" s="29">
        <f t="shared" si="10"/>
        <v>0</v>
      </c>
      <c r="AQ51" s="30"/>
      <c r="AR51" s="32"/>
      <c r="AS51" s="29">
        <f t="shared" si="11"/>
        <v>0</v>
      </c>
      <c r="AT51" s="30"/>
      <c r="AU51" s="32"/>
      <c r="AV51" s="29">
        <f t="shared" si="12"/>
        <v>0</v>
      </c>
      <c r="AW51" s="30"/>
      <c r="AX51" s="32"/>
      <c r="AY51" s="29">
        <f t="shared" si="13"/>
        <v>0</v>
      </c>
      <c r="AZ51" s="30"/>
      <c r="BA51" s="32"/>
      <c r="BB51" s="29">
        <f t="shared" si="14"/>
        <v>0</v>
      </c>
      <c r="BC51" s="30"/>
      <c r="BD51" s="32"/>
      <c r="BE51" s="29">
        <f t="shared" si="15"/>
        <v>0</v>
      </c>
      <c r="BF51" s="30"/>
      <c r="BG51" s="32"/>
      <c r="BH51" s="29">
        <f t="shared" si="16"/>
        <v>0</v>
      </c>
      <c r="BI51" s="30"/>
      <c r="BJ51" s="32"/>
      <c r="BK51" s="29">
        <f t="shared" si="17"/>
        <v>0</v>
      </c>
      <c r="BL51" s="30"/>
      <c r="BM51" s="32"/>
      <c r="BN51" s="29">
        <f t="shared" si="18"/>
        <v>0</v>
      </c>
      <c r="BO51" s="30"/>
      <c r="BP51" s="24">
        <f t="shared" si="24"/>
        <v>6</v>
      </c>
      <c r="BQ51" s="24">
        <f t="shared" si="20"/>
        <v>0</v>
      </c>
    </row>
    <row r="52" ht="15.75" customHeight="1">
      <c r="A52" s="12"/>
      <c r="B52" s="36" t="s">
        <v>102</v>
      </c>
      <c r="C52" s="36" t="s">
        <v>103</v>
      </c>
      <c r="D52" s="36" t="s">
        <v>104</v>
      </c>
      <c r="E52" s="36" t="s">
        <v>105</v>
      </c>
      <c r="F52" s="38"/>
      <c r="G52" s="39">
        <v>40.0</v>
      </c>
      <c r="H52" s="38"/>
      <c r="I52" s="40">
        <f t="shared" si="1"/>
        <v>40</v>
      </c>
      <c r="J52" s="41"/>
      <c r="K52" s="38"/>
      <c r="L52" s="40">
        <f t="shared" si="21"/>
        <v>40</v>
      </c>
      <c r="M52" s="41"/>
      <c r="N52" s="38"/>
      <c r="O52" s="40">
        <f t="shared" si="22"/>
        <v>40</v>
      </c>
      <c r="P52" s="41"/>
      <c r="Q52" s="38"/>
      <c r="R52" s="40">
        <f t="shared" si="23"/>
        <v>40</v>
      </c>
      <c r="S52" s="41"/>
      <c r="T52" s="38"/>
      <c r="U52" s="40">
        <f t="shared" si="3"/>
        <v>40</v>
      </c>
      <c r="V52" s="41"/>
      <c r="W52" s="38"/>
      <c r="X52" s="40">
        <f t="shared" si="4"/>
        <v>40</v>
      </c>
      <c r="Y52" s="41"/>
      <c r="Z52" s="38"/>
      <c r="AA52" s="40">
        <f t="shared" si="5"/>
        <v>40</v>
      </c>
      <c r="AB52" s="41"/>
      <c r="AC52" s="38"/>
      <c r="AD52" s="40">
        <f t="shared" si="6"/>
        <v>40</v>
      </c>
      <c r="AE52" s="41"/>
      <c r="AF52" s="38"/>
      <c r="AG52" s="40">
        <f t="shared" si="7"/>
        <v>40</v>
      </c>
      <c r="AH52" s="41"/>
      <c r="AI52" s="38"/>
      <c r="AJ52" s="40">
        <f t="shared" si="8"/>
        <v>40</v>
      </c>
      <c r="AK52" s="41"/>
      <c r="AL52" s="38"/>
      <c r="AM52" s="40">
        <f t="shared" si="9"/>
        <v>40</v>
      </c>
      <c r="AN52" s="41"/>
      <c r="AO52" s="38"/>
      <c r="AP52" s="40">
        <f t="shared" si="10"/>
        <v>40</v>
      </c>
      <c r="AQ52" s="41"/>
      <c r="AR52" s="38"/>
      <c r="AS52" s="40">
        <f t="shared" si="11"/>
        <v>40</v>
      </c>
      <c r="AT52" s="41"/>
      <c r="AU52" s="38"/>
      <c r="AV52" s="40">
        <f t="shared" si="12"/>
        <v>40</v>
      </c>
      <c r="AW52" s="41"/>
      <c r="AX52" s="38"/>
      <c r="AY52" s="40">
        <f t="shared" si="13"/>
        <v>40</v>
      </c>
      <c r="AZ52" s="41"/>
      <c r="BA52" s="38"/>
      <c r="BB52" s="40">
        <f t="shared" si="14"/>
        <v>40</v>
      </c>
      <c r="BC52" s="41"/>
      <c r="BD52" s="38"/>
      <c r="BE52" s="40">
        <f t="shared" si="15"/>
        <v>40</v>
      </c>
      <c r="BF52" s="41"/>
      <c r="BG52" s="38"/>
      <c r="BH52" s="40">
        <f t="shared" si="16"/>
        <v>40</v>
      </c>
      <c r="BI52" s="41"/>
      <c r="BJ52" s="38"/>
      <c r="BK52" s="40">
        <f t="shared" si="17"/>
        <v>40</v>
      </c>
      <c r="BL52" s="41"/>
      <c r="BM52" s="38"/>
      <c r="BN52" s="40">
        <f t="shared" si="18"/>
        <v>40</v>
      </c>
      <c r="BO52" s="41"/>
      <c r="BP52" s="18">
        <f t="shared" si="24"/>
        <v>0</v>
      </c>
      <c r="BQ52" s="18">
        <f t="shared" si="20"/>
        <v>40</v>
      </c>
    </row>
    <row r="53" ht="15.75" customHeight="1">
      <c r="A53" s="1"/>
      <c r="B53" s="32"/>
      <c r="C53" s="32"/>
      <c r="D53" s="42" t="s">
        <v>106</v>
      </c>
      <c r="E53" s="42" t="s">
        <v>36</v>
      </c>
      <c r="F53" s="28" t="s">
        <v>107</v>
      </c>
      <c r="G53" s="27">
        <v>10.0</v>
      </c>
      <c r="H53" s="28">
        <v>2.0</v>
      </c>
      <c r="I53" s="29">
        <f t="shared" si="1"/>
        <v>8</v>
      </c>
      <c r="J53" s="30"/>
      <c r="K53" s="28">
        <v>2.0</v>
      </c>
      <c r="L53" s="29">
        <f t="shared" si="21"/>
        <v>6</v>
      </c>
      <c r="M53" s="30"/>
      <c r="N53" s="28">
        <v>2.0</v>
      </c>
      <c r="O53" s="29">
        <f t="shared" si="22"/>
        <v>4</v>
      </c>
      <c r="P53" s="30"/>
      <c r="Q53" s="28">
        <v>2.0</v>
      </c>
      <c r="R53" s="29">
        <f t="shared" si="23"/>
        <v>2</v>
      </c>
      <c r="S53" s="30"/>
      <c r="T53" s="28">
        <v>2.0</v>
      </c>
      <c r="U53" s="29">
        <f t="shared" si="3"/>
        <v>0</v>
      </c>
      <c r="V53" s="30"/>
      <c r="W53" s="32"/>
      <c r="X53" s="29">
        <f t="shared" si="4"/>
        <v>0</v>
      </c>
      <c r="Y53" s="30"/>
      <c r="Z53" s="32"/>
      <c r="AA53" s="29">
        <f t="shared" si="5"/>
        <v>0</v>
      </c>
      <c r="AB53" s="30"/>
      <c r="AC53" s="32"/>
      <c r="AD53" s="29">
        <f t="shared" si="6"/>
        <v>0</v>
      </c>
      <c r="AE53" s="30"/>
      <c r="AF53" s="32"/>
      <c r="AG53" s="29">
        <f t="shared" si="7"/>
        <v>0</v>
      </c>
      <c r="AH53" s="30"/>
      <c r="AI53" s="32"/>
      <c r="AJ53" s="29">
        <f t="shared" si="8"/>
        <v>0</v>
      </c>
      <c r="AK53" s="30"/>
      <c r="AL53" s="32"/>
      <c r="AM53" s="29">
        <f t="shared" si="9"/>
        <v>0</v>
      </c>
      <c r="AN53" s="30"/>
      <c r="AO53" s="32"/>
      <c r="AP53" s="29">
        <f t="shared" si="10"/>
        <v>0</v>
      </c>
      <c r="AQ53" s="30"/>
      <c r="AR53" s="32"/>
      <c r="AS53" s="29">
        <f t="shared" si="11"/>
        <v>0</v>
      </c>
      <c r="AT53" s="30"/>
      <c r="AU53" s="32"/>
      <c r="AV53" s="29">
        <f t="shared" si="12"/>
        <v>0</v>
      </c>
      <c r="AW53" s="30"/>
      <c r="AX53" s="32"/>
      <c r="AY53" s="29">
        <f t="shared" si="13"/>
        <v>0</v>
      </c>
      <c r="AZ53" s="30"/>
      <c r="BA53" s="32"/>
      <c r="BB53" s="29">
        <f t="shared" si="14"/>
        <v>0</v>
      </c>
      <c r="BC53" s="30"/>
      <c r="BD53" s="32"/>
      <c r="BE53" s="29">
        <f t="shared" si="15"/>
        <v>0</v>
      </c>
      <c r="BF53" s="30"/>
      <c r="BG53" s="32"/>
      <c r="BH53" s="29">
        <f t="shared" si="16"/>
        <v>0</v>
      </c>
      <c r="BI53" s="30"/>
      <c r="BJ53" s="32"/>
      <c r="BK53" s="29">
        <f t="shared" si="17"/>
        <v>0</v>
      </c>
      <c r="BL53" s="30"/>
      <c r="BM53" s="32"/>
      <c r="BN53" s="29">
        <f t="shared" si="18"/>
        <v>0</v>
      </c>
      <c r="BO53" s="30"/>
      <c r="BP53" s="24">
        <f t="shared" si="24"/>
        <v>10</v>
      </c>
      <c r="BQ53" s="24">
        <f t="shared" si="20"/>
        <v>0</v>
      </c>
    </row>
    <row r="54" ht="15.75" customHeight="1">
      <c r="A54" s="1"/>
      <c r="B54" s="32"/>
      <c r="C54" s="32"/>
      <c r="D54" s="42" t="s">
        <v>108</v>
      </c>
      <c r="E54" s="42" t="s">
        <v>36</v>
      </c>
      <c r="F54" s="28" t="s">
        <v>107</v>
      </c>
      <c r="G54" s="27">
        <v>8.0</v>
      </c>
      <c r="H54" s="28">
        <v>2.0</v>
      </c>
      <c r="I54" s="29">
        <f t="shared" si="1"/>
        <v>6</v>
      </c>
      <c r="J54" s="30"/>
      <c r="K54" s="28">
        <v>2.0</v>
      </c>
      <c r="L54" s="29">
        <f t="shared" si="21"/>
        <v>4</v>
      </c>
      <c r="M54" s="30"/>
      <c r="N54" s="28">
        <v>2.0</v>
      </c>
      <c r="O54" s="29">
        <f t="shared" si="22"/>
        <v>2</v>
      </c>
      <c r="P54" s="30"/>
      <c r="Q54" s="28">
        <v>2.0</v>
      </c>
      <c r="R54" s="29">
        <f t="shared" si="23"/>
        <v>0</v>
      </c>
      <c r="S54" s="30"/>
      <c r="T54" s="32"/>
      <c r="U54" s="29">
        <f t="shared" si="3"/>
        <v>0</v>
      </c>
      <c r="V54" s="30"/>
      <c r="W54" s="32"/>
      <c r="X54" s="29">
        <f t="shared" si="4"/>
        <v>0</v>
      </c>
      <c r="Y54" s="30"/>
      <c r="Z54" s="32"/>
      <c r="AA54" s="29">
        <f t="shared" si="5"/>
        <v>0</v>
      </c>
      <c r="AB54" s="30"/>
      <c r="AC54" s="32"/>
      <c r="AD54" s="29">
        <f t="shared" si="6"/>
        <v>0</v>
      </c>
      <c r="AE54" s="30"/>
      <c r="AF54" s="32"/>
      <c r="AG54" s="29">
        <f t="shared" si="7"/>
        <v>0</v>
      </c>
      <c r="AH54" s="30"/>
      <c r="AI54" s="32"/>
      <c r="AJ54" s="29">
        <f t="shared" si="8"/>
        <v>0</v>
      </c>
      <c r="AK54" s="30"/>
      <c r="AL54" s="32"/>
      <c r="AM54" s="29">
        <f t="shared" si="9"/>
        <v>0</v>
      </c>
      <c r="AN54" s="30"/>
      <c r="AO54" s="32"/>
      <c r="AP54" s="29">
        <f t="shared" si="10"/>
        <v>0</v>
      </c>
      <c r="AQ54" s="30"/>
      <c r="AR54" s="32"/>
      <c r="AS54" s="29">
        <f t="shared" si="11"/>
        <v>0</v>
      </c>
      <c r="AT54" s="30"/>
      <c r="AU54" s="32"/>
      <c r="AV54" s="29">
        <f t="shared" si="12"/>
        <v>0</v>
      </c>
      <c r="AW54" s="30"/>
      <c r="AX54" s="32"/>
      <c r="AY54" s="29">
        <f t="shared" si="13"/>
        <v>0</v>
      </c>
      <c r="AZ54" s="30"/>
      <c r="BA54" s="32"/>
      <c r="BB54" s="29">
        <f t="shared" si="14"/>
        <v>0</v>
      </c>
      <c r="BC54" s="30"/>
      <c r="BD54" s="32"/>
      <c r="BE54" s="29">
        <f t="shared" si="15"/>
        <v>0</v>
      </c>
      <c r="BF54" s="30"/>
      <c r="BG54" s="32"/>
      <c r="BH54" s="29">
        <f t="shared" si="16"/>
        <v>0</v>
      </c>
      <c r="BI54" s="30"/>
      <c r="BJ54" s="32"/>
      <c r="BK54" s="29">
        <f t="shared" si="17"/>
        <v>0</v>
      </c>
      <c r="BL54" s="30"/>
      <c r="BM54" s="32"/>
      <c r="BN54" s="29">
        <f t="shared" si="18"/>
        <v>0</v>
      </c>
      <c r="BO54" s="30"/>
      <c r="BP54" s="24">
        <f t="shared" si="24"/>
        <v>8</v>
      </c>
      <c r="BQ54" s="24">
        <f t="shared" si="20"/>
        <v>0</v>
      </c>
    </row>
    <row r="55" ht="15.75" customHeight="1">
      <c r="A55" s="1"/>
      <c r="B55" s="32"/>
      <c r="C55" s="32"/>
      <c r="D55" s="42" t="s">
        <v>109</v>
      </c>
      <c r="E55" s="42" t="s">
        <v>47</v>
      </c>
      <c r="F55" s="28" t="s">
        <v>107</v>
      </c>
      <c r="G55" s="27">
        <v>8.0</v>
      </c>
      <c r="H55" s="28">
        <v>2.0</v>
      </c>
      <c r="I55" s="29">
        <f t="shared" si="1"/>
        <v>6</v>
      </c>
      <c r="J55" s="30"/>
      <c r="K55" s="28">
        <v>2.0</v>
      </c>
      <c r="L55" s="29">
        <f t="shared" si="21"/>
        <v>4</v>
      </c>
      <c r="M55" s="30"/>
      <c r="N55" s="28">
        <v>2.0</v>
      </c>
      <c r="O55" s="29">
        <f t="shared" si="22"/>
        <v>2</v>
      </c>
      <c r="P55" s="30"/>
      <c r="Q55" s="28">
        <v>2.0</v>
      </c>
      <c r="R55" s="29">
        <f t="shared" si="23"/>
        <v>0</v>
      </c>
      <c r="S55" s="30"/>
      <c r="T55" s="32"/>
      <c r="U55" s="29">
        <f t="shared" si="3"/>
        <v>0</v>
      </c>
      <c r="V55" s="30"/>
      <c r="W55" s="32"/>
      <c r="X55" s="29">
        <f t="shared" si="4"/>
        <v>0</v>
      </c>
      <c r="Y55" s="30"/>
      <c r="Z55" s="32"/>
      <c r="AA55" s="29">
        <f t="shared" si="5"/>
        <v>0</v>
      </c>
      <c r="AB55" s="30"/>
      <c r="AC55" s="32"/>
      <c r="AD55" s="29">
        <f t="shared" si="6"/>
        <v>0</v>
      </c>
      <c r="AE55" s="30"/>
      <c r="AF55" s="32"/>
      <c r="AG55" s="29">
        <f t="shared" si="7"/>
        <v>0</v>
      </c>
      <c r="AH55" s="30"/>
      <c r="AI55" s="32"/>
      <c r="AJ55" s="29">
        <f t="shared" si="8"/>
        <v>0</v>
      </c>
      <c r="AK55" s="30"/>
      <c r="AL55" s="32"/>
      <c r="AM55" s="29">
        <f t="shared" si="9"/>
        <v>0</v>
      </c>
      <c r="AN55" s="30"/>
      <c r="AO55" s="32"/>
      <c r="AP55" s="29">
        <f t="shared" si="10"/>
        <v>0</v>
      </c>
      <c r="AQ55" s="30"/>
      <c r="AR55" s="32"/>
      <c r="AS55" s="29">
        <f t="shared" si="11"/>
        <v>0</v>
      </c>
      <c r="AT55" s="30"/>
      <c r="AU55" s="32"/>
      <c r="AV55" s="29">
        <f t="shared" si="12"/>
        <v>0</v>
      </c>
      <c r="AW55" s="30"/>
      <c r="AX55" s="32"/>
      <c r="AY55" s="29">
        <f t="shared" si="13"/>
        <v>0</v>
      </c>
      <c r="AZ55" s="30"/>
      <c r="BA55" s="32"/>
      <c r="BB55" s="29">
        <f t="shared" si="14"/>
        <v>0</v>
      </c>
      <c r="BC55" s="30"/>
      <c r="BD55" s="32"/>
      <c r="BE55" s="29">
        <f t="shared" si="15"/>
        <v>0</v>
      </c>
      <c r="BF55" s="30"/>
      <c r="BG55" s="32"/>
      <c r="BH55" s="29">
        <f t="shared" si="16"/>
        <v>0</v>
      </c>
      <c r="BI55" s="30"/>
      <c r="BJ55" s="32"/>
      <c r="BK55" s="29">
        <f t="shared" si="17"/>
        <v>0</v>
      </c>
      <c r="BL55" s="30"/>
      <c r="BM55" s="32"/>
      <c r="BN55" s="29">
        <f t="shared" si="18"/>
        <v>0</v>
      </c>
      <c r="BO55" s="30"/>
      <c r="BP55" s="24">
        <f t="shared" si="24"/>
        <v>8</v>
      </c>
      <c r="BQ55" s="24">
        <f t="shared" si="20"/>
        <v>0</v>
      </c>
    </row>
    <row r="56" ht="15.75" customHeight="1">
      <c r="A56" s="1"/>
      <c r="B56" s="32"/>
      <c r="C56" s="32"/>
      <c r="D56" s="42" t="s">
        <v>110</v>
      </c>
      <c r="E56" s="28" t="s">
        <v>99</v>
      </c>
      <c r="F56" s="28" t="s">
        <v>107</v>
      </c>
      <c r="G56" s="27">
        <v>6.0</v>
      </c>
      <c r="H56" s="28">
        <v>2.0</v>
      </c>
      <c r="I56" s="29">
        <f t="shared" si="1"/>
        <v>4</v>
      </c>
      <c r="J56" s="30"/>
      <c r="K56" s="28">
        <v>2.0</v>
      </c>
      <c r="L56" s="29">
        <f t="shared" si="21"/>
        <v>2</v>
      </c>
      <c r="M56" s="30"/>
      <c r="N56" s="28">
        <v>2.0</v>
      </c>
      <c r="O56" s="29">
        <f t="shared" si="22"/>
        <v>0</v>
      </c>
      <c r="P56" s="30"/>
      <c r="Q56" s="32"/>
      <c r="R56" s="29">
        <f t="shared" si="23"/>
        <v>0</v>
      </c>
      <c r="S56" s="30"/>
      <c r="T56" s="32"/>
      <c r="U56" s="29">
        <f t="shared" si="3"/>
        <v>0</v>
      </c>
      <c r="V56" s="30"/>
      <c r="W56" s="32"/>
      <c r="X56" s="29">
        <f t="shared" si="4"/>
        <v>0</v>
      </c>
      <c r="Y56" s="30"/>
      <c r="Z56" s="32"/>
      <c r="AA56" s="29">
        <f t="shared" si="5"/>
        <v>0</v>
      </c>
      <c r="AB56" s="30"/>
      <c r="AC56" s="32"/>
      <c r="AD56" s="29">
        <f t="shared" si="6"/>
        <v>0</v>
      </c>
      <c r="AE56" s="30"/>
      <c r="AF56" s="32"/>
      <c r="AG56" s="29">
        <f t="shared" si="7"/>
        <v>0</v>
      </c>
      <c r="AH56" s="30"/>
      <c r="AI56" s="32"/>
      <c r="AJ56" s="29">
        <f t="shared" si="8"/>
        <v>0</v>
      </c>
      <c r="AK56" s="30"/>
      <c r="AL56" s="32"/>
      <c r="AM56" s="29">
        <f t="shared" si="9"/>
        <v>0</v>
      </c>
      <c r="AN56" s="30"/>
      <c r="AO56" s="32"/>
      <c r="AP56" s="29">
        <f t="shared" si="10"/>
        <v>0</v>
      </c>
      <c r="AQ56" s="30"/>
      <c r="AR56" s="32"/>
      <c r="AS56" s="29">
        <f t="shared" si="11"/>
        <v>0</v>
      </c>
      <c r="AT56" s="30"/>
      <c r="AU56" s="32"/>
      <c r="AV56" s="29">
        <f t="shared" si="12"/>
        <v>0</v>
      </c>
      <c r="AW56" s="30"/>
      <c r="AX56" s="32"/>
      <c r="AY56" s="29">
        <f t="shared" si="13"/>
        <v>0</v>
      </c>
      <c r="AZ56" s="30"/>
      <c r="BA56" s="32"/>
      <c r="BB56" s="29">
        <f t="shared" si="14"/>
        <v>0</v>
      </c>
      <c r="BC56" s="30"/>
      <c r="BD56" s="32"/>
      <c r="BE56" s="29">
        <f t="shared" si="15"/>
        <v>0</v>
      </c>
      <c r="BF56" s="30"/>
      <c r="BG56" s="32"/>
      <c r="BH56" s="29">
        <f t="shared" si="16"/>
        <v>0</v>
      </c>
      <c r="BI56" s="30"/>
      <c r="BJ56" s="32"/>
      <c r="BK56" s="29">
        <f t="shared" si="17"/>
        <v>0</v>
      </c>
      <c r="BL56" s="30"/>
      <c r="BM56" s="32"/>
      <c r="BN56" s="29">
        <f t="shared" si="18"/>
        <v>0</v>
      </c>
      <c r="BO56" s="30"/>
      <c r="BP56" s="24">
        <f t="shared" si="24"/>
        <v>6</v>
      </c>
      <c r="BQ56" s="24">
        <f t="shared" si="20"/>
        <v>0</v>
      </c>
    </row>
    <row r="57" ht="15.75" customHeight="1">
      <c r="A57" s="1"/>
      <c r="B57" s="32"/>
      <c r="C57" s="32"/>
      <c r="D57" s="42" t="s">
        <v>111</v>
      </c>
      <c r="E57" s="42" t="s">
        <v>36</v>
      </c>
      <c r="F57" s="28" t="s">
        <v>107</v>
      </c>
      <c r="G57" s="27">
        <v>4.0</v>
      </c>
      <c r="H57" s="28">
        <v>2.0</v>
      </c>
      <c r="I57" s="29">
        <f t="shared" si="1"/>
        <v>2</v>
      </c>
      <c r="J57" s="30"/>
      <c r="K57" s="28">
        <v>2.0</v>
      </c>
      <c r="L57" s="29">
        <f t="shared" si="21"/>
        <v>0</v>
      </c>
      <c r="M57" s="30"/>
      <c r="N57" s="32"/>
      <c r="O57" s="29">
        <f t="shared" si="22"/>
        <v>0</v>
      </c>
      <c r="P57" s="30"/>
      <c r="Q57" s="32"/>
      <c r="R57" s="29">
        <f t="shared" si="23"/>
        <v>0</v>
      </c>
      <c r="S57" s="30"/>
      <c r="T57" s="32"/>
      <c r="U57" s="29">
        <f t="shared" si="3"/>
        <v>0</v>
      </c>
      <c r="V57" s="30"/>
      <c r="W57" s="32"/>
      <c r="X57" s="29">
        <f t="shared" si="4"/>
        <v>0</v>
      </c>
      <c r="Y57" s="30"/>
      <c r="Z57" s="32"/>
      <c r="AA57" s="29">
        <f t="shared" si="5"/>
        <v>0</v>
      </c>
      <c r="AB57" s="30"/>
      <c r="AC57" s="32"/>
      <c r="AD57" s="29">
        <f t="shared" si="6"/>
        <v>0</v>
      </c>
      <c r="AE57" s="30"/>
      <c r="AF57" s="32"/>
      <c r="AG57" s="29">
        <f t="shared" si="7"/>
        <v>0</v>
      </c>
      <c r="AH57" s="30"/>
      <c r="AI57" s="32"/>
      <c r="AJ57" s="29">
        <f t="shared" si="8"/>
        <v>0</v>
      </c>
      <c r="AK57" s="30"/>
      <c r="AL57" s="32"/>
      <c r="AM57" s="29">
        <f t="shared" si="9"/>
        <v>0</v>
      </c>
      <c r="AN57" s="30"/>
      <c r="AO57" s="32"/>
      <c r="AP57" s="29">
        <f t="shared" si="10"/>
        <v>0</v>
      </c>
      <c r="AQ57" s="30"/>
      <c r="AR57" s="32"/>
      <c r="AS57" s="29">
        <f t="shared" si="11"/>
        <v>0</v>
      </c>
      <c r="AT57" s="30"/>
      <c r="AU57" s="32"/>
      <c r="AV57" s="29">
        <f t="shared" si="12"/>
        <v>0</v>
      </c>
      <c r="AW57" s="30"/>
      <c r="AX57" s="32"/>
      <c r="AY57" s="29">
        <f t="shared" si="13"/>
        <v>0</v>
      </c>
      <c r="AZ57" s="30"/>
      <c r="BA57" s="32"/>
      <c r="BB57" s="29">
        <f t="shared" si="14"/>
        <v>0</v>
      </c>
      <c r="BC57" s="30"/>
      <c r="BD57" s="32"/>
      <c r="BE57" s="29">
        <f t="shared" si="15"/>
        <v>0</v>
      </c>
      <c r="BF57" s="30"/>
      <c r="BG57" s="32"/>
      <c r="BH57" s="29">
        <f t="shared" si="16"/>
        <v>0</v>
      </c>
      <c r="BI57" s="30"/>
      <c r="BJ57" s="32"/>
      <c r="BK57" s="29">
        <f t="shared" si="17"/>
        <v>0</v>
      </c>
      <c r="BL57" s="30"/>
      <c r="BM57" s="32"/>
      <c r="BN57" s="29">
        <f t="shared" si="18"/>
        <v>0</v>
      </c>
      <c r="BO57" s="30"/>
      <c r="BP57" s="24">
        <f t="shared" si="24"/>
        <v>4</v>
      </c>
      <c r="BQ57" s="24">
        <f t="shared" si="20"/>
        <v>0</v>
      </c>
    </row>
    <row r="58" ht="15.75" customHeight="1">
      <c r="A58" s="1"/>
      <c r="B58" s="32"/>
      <c r="C58" s="32"/>
      <c r="D58" s="42" t="s">
        <v>112</v>
      </c>
      <c r="E58" s="28" t="s">
        <v>40</v>
      </c>
      <c r="F58" s="28" t="s">
        <v>107</v>
      </c>
      <c r="G58" s="27">
        <v>4.0</v>
      </c>
      <c r="H58" s="28">
        <v>2.0</v>
      </c>
      <c r="I58" s="29">
        <f t="shared" si="1"/>
        <v>2</v>
      </c>
      <c r="J58" s="30"/>
      <c r="K58" s="28">
        <v>2.0</v>
      </c>
      <c r="L58" s="29">
        <f t="shared" si="21"/>
        <v>0</v>
      </c>
      <c r="M58" s="30"/>
      <c r="N58" s="32"/>
      <c r="O58" s="29">
        <f t="shared" si="22"/>
        <v>0</v>
      </c>
      <c r="P58" s="30"/>
      <c r="Q58" s="32"/>
      <c r="R58" s="29">
        <f t="shared" si="23"/>
        <v>0</v>
      </c>
      <c r="S58" s="30"/>
      <c r="T58" s="32"/>
      <c r="U58" s="29">
        <f t="shared" si="3"/>
        <v>0</v>
      </c>
      <c r="V58" s="30"/>
      <c r="W58" s="32"/>
      <c r="X58" s="29">
        <f t="shared" si="4"/>
        <v>0</v>
      </c>
      <c r="Y58" s="30"/>
      <c r="Z58" s="32"/>
      <c r="AA58" s="29">
        <f t="shared" si="5"/>
        <v>0</v>
      </c>
      <c r="AB58" s="30"/>
      <c r="AC58" s="32"/>
      <c r="AD58" s="29">
        <f t="shared" si="6"/>
        <v>0</v>
      </c>
      <c r="AE58" s="30"/>
      <c r="AF58" s="32"/>
      <c r="AG58" s="29">
        <f t="shared" si="7"/>
        <v>0</v>
      </c>
      <c r="AH58" s="30"/>
      <c r="AI58" s="32"/>
      <c r="AJ58" s="29">
        <f t="shared" si="8"/>
        <v>0</v>
      </c>
      <c r="AK58" s="30"/>
      <c r="AL58" s="32"/>
      <c r="AM58" s="29">
        <f t="shared" si="9"/>
        <v>0</v>
      </c>
      <c r="AN58" s="30"/>
      <c r="AO58" s="32"/>
      <c r="AP58" s="29">
        <f t="shared" si="10"/>
        <v>0</v>
      </c>
      <c r="AQ58" s="30"/>
      <c r="AR58" s="32"/>
      <c r="AS58" s="29">
        <f t="shared" si="11"/>
        <v>0</v>
      </c>
      <c r="AT58" s="30"/>
      <c r="AU58" s="32"/>
      <c r="AV58" s="29">
        <f t="shared" si="12"/>
        <v>0</v>
      </c>
      <c r="AW58" s="30"/>
      <c r="AX58" s="32"/>
      <c r="AY58" s="29">
        <f t="shared" si="13"/>
        <v>0</v>
      </c>
      <c r="AZ58" s="30"/>
      <c r="BA58" s="32"/>
      <c r="BB58" s="29">
        <f t="shared" si="14"/>
        <v>0</v>
      </c>
      <c r="BC58" s="30"/>
      <c r="BD58" s="32"/>
      <c r="BE58" s="29">
        <f t="shared" si="15"/>
        <v>0</v>
      </c>
      <c r="BF58" s="30"/>
      <c r="BG58" s="32"/>
      <c r="BH58" s="29">
        <f t="shared" si="16"/>
        <v>0</v>
      </c>
      <c r="BI58" s="30"/>
      <c r="BJ58" s="32"/>
      <c r="BK58" s="29">
        <f t="shared" si="17"/>
        <v>0</v>
      </c>
      <c r="BL58" s="30"/>
      <c r="BM58" s="32"/>
      <c r="BN58" s="29">
        <f t="shared" si="18"/>
        <v>0</v>
      </c>
      <c r="BO58" s="30"/>
      <c r="BP58" s="24">
        <f t="shared" si="24"/>
        <v>4</v>
      </c>
      <c r="BQ58" s="24">
        <f t="shared" si="20"/>
        <v>0</v>
      </c>
    </row>
    <row r="59" ht="15.75" customHeight="1">
      <c r="A59" s="1"/>
      <c r="B59" s="1"/>
      <c r="C59" s="1"/>
      <c r="D59" s="1"/>
      <c r="E59" s="3"/>
      <c r="F59" s="1"/>
      <c r="G59" s="4"/>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3"/>
      <c r="F60" s="1"/>
      <c r="G60" s="4"/>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3"/>
      <c r="F61" s="1"/>
      <c r="G61" s="4"/>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3"/>
      <c r="F62" s="1"/>
      <c r="G62" s="4"/>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3"/>
      <c r="F63" s="1"/>
      <c r="G63" s="4"/>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3"/>
      <c r="F64" s="1"/>
      <c r="G64" s="4"/>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3"/>
      <c r="F65" s="1"/>
      <c r="G65" s="4"/>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3"/>
      <c r="F66" s="1"/>
      <c r="G66" s="4"/>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3"/>
      <c r="F67" s="1"/>
      <c r="G67" s="4"/>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3"/>
      <c r="F68" s="1"/>
      <c r="G68" s="4"/>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3"/>
      <c r="F69" s="1"/>
      <c r="G69" s="4"/>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3"/>
      <c r="F70" s="1"/>
      <c r="G70" s="4"/>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3"/>
      <c r="F71" s="1"/>
      <c r="G71" s="4"/>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3"/>
      <c r="F72" s="1"/>
      <c r="G72" s="4"/>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3"/>
      <c r="F73" s="1"/>
      <c r="G73" s="4"/>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3"/>
      <c r="F74" s="1"/>
      <c r="G74" s="4"/>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3"/>
      <c r="F75" s="1"/>
      <c r="G75" s="4"/>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3"/>
      <c r="F76" s="1"/>
      <c r="G76" s="4"/>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3"/>
      <c r="F77" s="1"/>
      <c r="G77" s="4"/>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3"/>
      <c r="F78" s="1"/>
      <c r="G78" s="4"/>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3"/>
      <c r="F79" s="1"/>
      <c r="G79" s="4"/>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3"/>
      <c r="F80" s="1"/>
      <c r="G80" s="4"/>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3"/>
      <c r="F81" s="1"/>
      <c r="G81" s="4"/>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3"/>
      <c r="F82" s="1"/>
      <c r="G82" s="4"/>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3"/>
      <c r="F83" s="1"/>
      <c r="G83" s="4"/>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3"/>
      <c r="F84" s="1"/>
      <c r="G84" s="4"/>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3"/>
      <c r="F85" s="1"/>
      <c r="G85" s="4"/>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3"/>
      <c r="F86" s="1"/>
      <c r="G86" s="4"/>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3"/>
      <c r="F87" s="1"/>
      <c r="G87" s="4"/>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3"/>
      <c r="F88" s="1"/>
      <c r="G88" s="4"/>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3"/>
      <c r="F89" s="1"/>
      <c r="G89" s="4"/>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3"/>
      <c r="F90" s="1"/>
      <c r="G90" s="4"/>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3"/>
      <c r="F91" s="1"/>
      <c r="G91" s="4"/>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3"/>
      <c r="F92" s="1"/>
      <c r="G92" s="4"/>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3"/>
      <c r="F93" s="1"/>
      <c r="G93" s="4"/>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3"/>
      <c r="F94" s="1"/>
      <c r="G94" s="4"/>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3"/>
      <c r="F95" s="1"/>
      <c r="G95" s="4"/>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3"/>
      <c r="F96" s="1"/>
      <c r="G96" s="4"/>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3"/>
      <c r="F97" s="1"/>
      <c r="G97" s="4"/>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3"/>
      <c r="F98" s="1"/>
      <c r="G98" s="4"/>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3"/>
      <c r="F99" s="1"/>
      <c r="G99" s="4"/>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3"/>
      <c r="F100" s="1"/>
      <c r="G100" s="4"/>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3"/>
      <c r="F101" s="1"/>
      <c r="G101" s="4"/>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3"/>
      <c r="F102" s="1"/>
      <c r="G102" s="4"/>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3"/>
      <c r="F103" s="1"/>
      <c r="G103" s="4"/>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3"/>
      <c r="F104" s="1"/>
      <c r="G104" s="4"/>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3"/>
      <c r="F105" s="1"/>
      <c r="G105" s="4"/>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3"/>
      <c r="F106" s="1"/>
      <c r="G106" s="4"/>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3"/>
      <c r="F107" s="1"/>
      <c r="G107" s="4"/>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3"/>
      <c r="F108" s="1"/>
      <c r="G108" s="4"/>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3"/>
      <c r="F109" s="1"/>
      <c r="G109" s="4"/>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3"/>
      <c r="F110" s="1"/>
      <c r="G110" s="4"/>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3"/>
      <c r="F111" s="1"/>
      <c r="G111" s="4"/>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3"/>
      <c r="F112" s="1"/>
      <c r="G112" s="4"/>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3"/>
      <c r="F113" s="1"/>
      <c r="G113" s="4"/>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3"/>
      <c r="F114" s="1"/>
      <c r="G114" s="4"/>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3"/>
      <c r="F115" s="1"/>
      <c r="G115" s="4"/>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3"/>
      <c r="F116" s="1"/>
      <c r="G116" s="4"/>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3"/>
      <c r="F117" s="1"/>
      <c r="G117" s="4"/>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3"/>
      <c r="F118" s="1"/>
      <c r="G118" s="4"/>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3"/>
      <c r="F119" s="1"/>
      <c r="G119" s="4"/>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3"/>
      <c r="F120" s="1"/>
      <c r="G120" s="4"/>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3"/>
      <c r="F121" s="1"/>
      <c r="G121" s="4"/>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3"/>
      <c r="F122" s="1"/>
      <c r="G122" s="4"/>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3"/>
      <c r="F123" s="1"/>
      <c r="G123" s="4"/>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3"/>
      <c r="F124" s="1"/>
      <c r="G124" s="4"/>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3"/>
      <c r="F125" s="1"/>
      <c r="G125" s="4"/>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3"/>
      <c r="F126" s="1"/>
      <c r="G126" s="4"/>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3"/>
      <c r="F127" s="1"/>
      <c r="G127" s="4"/>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3"/>
      <c r="F128" s="1"/>
      <c r="G128" s="4"/>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3"/>
      <c r="F129" s="1"/>
      <c r="G129" s="4"/>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3"/>
      <c r="F130" s="1"/>
      <c r="G130" s="4"/>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3"/>
      <c r="F131" s="1"/>
      <c r="G131" s="4"/>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3"/>
      <c r="F132" s="1"/>
      <c r="G132" s="4"/>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3"/>
      <c r="F133" s="1"/>
      <c r="G133" s="4"/>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3"/>
      <c r="F134" s="1"/>
      <c r="G134" s="4"/>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3"/>
      <c r="F135" s="1"/>
      <c r="G135" s="4"/>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3"/>
      <c r="F136" s="1"/>
      <c r="G136" s="4"/>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3"/>
      <c r="F137" s="1"/>
      <c r="G137" s="4"/>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3"/>
      <c r="F138" s="1"/>
      <c r="G138" s="4"/>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3"/>
      <c r="F139" s="1"/>
      <c r="G139" s="4"/>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3"/>
      <c r="F140" s="1"/>
      <c r="G140" s="4"/>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3"/>
      <c r="F141" s="1"/>
      <c r="G141" s="4"/>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3"/>
      <c r="F142" s="1"/>
      <c r="G142" s="4"/>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3"/>
      <c r="F143" s="1"/>
      <c r="G143" s="4"/>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3"/>
      <c r="F144" s="1"/>
      <c r="G144" s="4"/>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3"/>
      <c r="F145" s="1"/>
      <c r="G145" s="4"/>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3"/>
      <c r="F146" s="1"/>
      <c r="G146" s="4"/>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3"/>
      <c r="F147" s="1"/>
      <c r="G147" s="4"/>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3"/>
      <c r="F148" s="1"/>
      <c r="G148" s="4"/>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3"/>
      <c r="F149" s="1"/>
      <c r="G149" s="4"/>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3"/>
      <c r="F150" s="1"/>
      <c r="G150" s="4"/>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3"/>
      <c r="F151" s="1"/>
      <c r="G151" s="4"/>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3"/>
      <c r="F152" s="1"/>
      <c r="G152" s="4"/>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3"/>
      <c r="F153" s="1"/>
      <c r="G153" s="4"/>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3"/>
      <c r="F154" s="1"/>
      <c r="G154" s="4"/>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3"/>
      <c r="F155" s="1"/>
      <c r="G155" s="4"/>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3"/>
      <c r="F156" s="1"/>
      <c r="G156" s="4"/>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3"/>
      <c r="F157" s="1"/>
      <c r="G157" s="4"/>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3"/>
      <c r="F158" s="1"/>
      <c r="G158" s="4"/>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3"/>
      <c r="F159" s="1"/>
      <c r="G159" s="4"/>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3"/>
      <c r="F160" s="1"/>
      <c r="G160" s="4"/>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3"/>
      <c r="F161" s="1"/>
      <c r="G161" s="4"/>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3"/>
      <c r="F162" s="1"/>
      <c r="G162" s="4"/>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3"/>
      <c r="F163" s="1"/>
      <c r="G163" s="4"/>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3"/>
      <c r="F164" s="1"/>
      <c r="G164" s="4"/>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3"/>
      <c r="F165" s="1"/>
      <c r="G165" s="4"/>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3"/>
      <c r="F166" s="1"/>
      <c r="G166" s="4"/>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3"/>
      <c r="F167" s="1"/>
      <c r="G167" s="4"/>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3"/>
      <c r="F168" s="1"/>
      <c r="G168" s="4"/>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3"/>
      <c r="F169" s="1"/>
      <c r="G169" s="4"/>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3"/>
      <c r="F170" s="1"/>
      <c r="G170" s="4"/>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3"/>
      <c r="F171" s="1"/>
      <c r="G171" s="4"/>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3"/>
      <c r="F172" s="1"/>
      <c r="G172" s="4"/>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3"/>
      <c r="F173" s="1"/>
      <c r="G173" s="4"/>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3"/>
      <c r="F174" s="1"/>
      <c r="G174" s="4"/>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3"/>
      <c r="F175" s="1"/>
      <c r="G175" s="4"/>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3"/>
      <c r="F176" s="1"/>
      <c r="G176" s="4"/>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3"/>
      <c r="F177" s="1"/>
      <c r="G177" s="4"/>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3"/>
      <c r="F178" s="1"/>
      <c r="G178" s="4"/>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3"/>
      <c r="F179" s="1"/>
      <c r="G179" s="4"/>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3"/>
      <c r="F180" s="1"/>
      <c r="G180" s="4"/>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3"/>
      <c r="F181" s="1"/>
      <c r="G181" s="4"/>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3"/>
      <c r="F182" s="1"/>
      <c r="G182" s="4"/>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3"/>
      <c r="F183" s="1"/>
      <c r="G183" s="4"/>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3"/>
      <c r="F184" s="1"/>
      <c r="G184" s="4"/>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3"/>
      <c r="F185" s="1"/>
      <c r="G185" s="4"/>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3"/>
      <c r="F186" s="1"/>
      <c r="G186" s="4"/>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3"/>
      <c r="F187" s="1"/>
      <c r="G187" s="4"/>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3"/>
      <c r="F188" s="1"/>
      <c r="G188" s="4"/>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3"/>
      <c r="F189" s="1"/>
      <c r="G189" s="4"/>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3"/>
      <c r="F190" s="1"/>
      <c r="G190" s="4"/>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3"/>
      <c r="F191" s="1"/>
      <c r="G191" s="4"/>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3"/>
      <c r="F192" s="1"/>
      <c r="G192" s="4"/>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3"/>
      <c r="F193" s="1"/>
      <c r="G193" s="4"/>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3"/>
      <c r="F194" s="1"/>
      <c r="G194" s="4"/>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3"/>
      <c r="F195" s="1"/>
      <c r="G195" s="4"/>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3"/>
      <c r="F196" s="1"/>
      <c r="G196" s="4"/>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3"/>
      <c r="F197" s="1"/>
      <c r="G197" s="4"/>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3"/>
      <c r="F198" s="1"/>
      <c r="G198" s="4"/>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3"/>
      <c r="F199" s="1"/>
      <c r="G199" s="4"/>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3"/>
      <c r="F200" s="1"/>
      <c r="G200" s="4"/>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3"/>
      <c r="F201" s="1"/>
      <c r="G201" s="4"/>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3"/>
      <c r="F202" s="1"/>
      <c r="G202" s="4"/>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3"/>
      <c r="F203" s="1"/>
      <c r="G203" s="4"/>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3"/>
      <c r="F204" s="1"/>
      <c r="G204" s="4"/>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3"/>
      <c r="F205" s="1"/>
      <c r="G205" s="4"/>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3"/>
      <c r="F206" s="1"/>
      <c r="G206" s="4"/>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3"/>
      <c r="F207" s="1"/>
      <c r="G207" s="4"/>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3"/>
      <c r="F208" s="1"/>
      <c r="G208" s="4"/>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3"/>
      <c r="F209" s="1"/>
      <c r="G209" s="4"/>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3"/>
      <c r="F210" s="1"/>
      <c r="G210" s="4"/>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3"/>
      <c r="F211" s="1"/>
      <c r="G211" s="4"/>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3"/>
      <c r="F212" s="1"/>
      <c r="G212" s="4"/>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3"/>
      <c r="F213" s="1"/>
      <c r="G213" s="4"/>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3"/>
      <c r="F214" s="1"/>
      <c r="G214" s="4"/>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3"/>
      <c r="F215" s="1"/>
      <c r="G215" s="4"/>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3"/>
      <c r="F216" s="1"/>
      <c r="G216" s="4"/>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3"/>
      <c r="F217" s="1"/>
      <c r="G217" s="4"/>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3"/>
      <c r="F218" s="1"/>
      <c r="G218" s="4"/>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3"/>
      <c r="F219" s="1"/>
      <c r="G219" s="4"/>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3"/>
      <c r="F220" s="1"/>
      <c r="G220" s="4"/>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3"/>
      <c r="F221" s="1"/>
      <c r="G221" s="4"/>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3"/>
      <c r="F222" s="1"/>
      <c r="G222" s="4"/>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3"/>
      <c r="F223" s="1"/>
      <c r="G223" s="4"/>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3"/>
      <c r="F224" s="1"/>
      <c r="G224" s="4"/>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3"/>
      <c r="F225" s="1"/>
      <c r="G225" s="4"/>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3"/>
      <c r="F226" s="1"/>
      <c r="G226" s="4"/>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3"/>
      <c r="F227" s="1"/>
      <c r="G227" s="4"/>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3"/>
      <c r="F228" s="1"/>
      <c r="G228" s="4"/>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3"/>
      <c r="F229" s="1"/>
      <c r="G229" s="4"/>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3"/>
      <c r="F230" s="1"/>
      <c r="G230" s="4"/>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3"/>
      <c r="F231" s="1"/>
      <c r="G231" s="4"/>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3"/>
      <c r="F232" s="1"/>
      <c r="G232" s="4"/>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3"/>
      <c r="F233" s="1"/>
      <c r="G233" s="4"/>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3"/>
      <c r="F234" s="1"/>
      <c r="G234" s="4"/>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3"/>
      <c r="F235" s="1"/>
      <c r="G235" s="4"/>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3"/>
      <c r="F236" s="1"/>
      <c r="G236" s="4"/>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3"/>
      <c r="F237" s="1"/>
      <c r="G237" s="4"/>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3"/>
      <c r="F238" s="1"/>
      <c r="G238" s="4"/>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3"/>
      <c r="F239" s="1"/>
      <c r="G239" s="4"/>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3"/>
      <c r="F240" s="1"/>
      <c r="G240" s="4"/>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3"/>
      <c r="F241" s="1"/>
      <c r="G241" s="4"/>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3"/>
      <c r="F242" s="1"/>
      <c r="G242" s="4"/>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3"/>
      <c r="F243" s="1"/>
      <c r="G243" s="4"/>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3"/>
      <c r="F244" s="1"/>
      <c r="G244" s="4"/>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3"/>
      <c r="F245" s="1"/>
      <c r="G245" s="4"/>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3"/>
      <c r="F246" s="1"/>
      <c r="G246" s="4"/>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3"/>
      <c r="F247" s="1"/>
      <c r="G247" s="4"/>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3"/>
      <c r="F248" s="1"/>
      <c r="G248" s="4"/>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3"/>
      <c r="F249" s="1"/>
      <c r="G249" s="4"/>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3"/>
      <c r="F250" s="1"/>
      <c r="G250" s="4"/>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3"/>
      <c r="F251" s="1"/>
      <c r="G251" s="4"/>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3"/>
      <c r="F252" s="1"/>
      <c r="G252" s="4"/>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3"/>
      <c r="F253" s="1"/>
      <c r="G253" s="4"/>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3"/>
      <c r="F254" s="1"/>
      <c r="G254" s="4"/>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3"/>
      <c r="F255" s="1"/>
      <c r="G255" s="4"/>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3"/>
      <c r="F256" s="1"/>
      <c r="G256" s="4"/>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3"/>
      <c r="F257" s="1"/>
      <c r="G257" s="4"/>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3"/>
      <c r="F258" s="1"/>
      <c r="G258" s="4"/>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3"/>
      <c r="F259" s="1"/>
      <c r="G259" s="4"/>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3"/>
      <c r="F260" s="1"/>
      <c r="G260" s="4"/>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3"/>
      <c r="F261" s="1"/>
      <c r="G261" s="4"/>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3"/>
      <c r="F262" s="1"/>
      <c r="G262" s="4"/>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3"/>
      <c r="F263" s="1"/>
      <c r="G263" s="4"/>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3"/>
      <c r="F264" s="1"/>
      <c r="G264" s="4"/>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3"/>
      <c r="F265" s="1"/>
      <c r="G265" s="4"/>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3"/>
      <c r="F266" s="1"/>
      <c r="G266" s="4"/>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3"/>
      <c r="F267" s="1"/>
      <c r="G267" s="4"/>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3"/>
      <c r="F268" s="1"/>
      <c r="G268" s="4"/>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3"/>
      <c r="F269" s="1"/>
      <c r="G269" s="4"/>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3"/>
      <c r="F270" s="1"/>
      <c r="G270" s="4"/>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3"/>
      <c r="F271" s="1"/>
      <c r="G271" s="4"/>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3"/>
      <c r="F272" s="1"/>
      <c r="G272" s="4"/>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3"/>
      <c r="F273" s="1"/>
      <c r="G273" s="4"/>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3"/>
      <c r="F274" s="1"/>
      <c r="G274" s="4"/>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3"/>
      <c r="F275" s="1"/>
      <c r="G275" s="4"/>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3"/>
      <c r="F276" s="1"/>
      <c r="G276" s="4"/>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3"/>
      <c r="F277" s="1"/>
      <c r="G277" s="4"/>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3"/>
      <c r="F278" s="1"/>
      <c r="G278" s="4"/>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3"/>
      <c r="F279" s="1"/>
      <c r="G279" s="4"/>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3"/>
      <c r="F280" s="1"/>
      <c r="G280" s="4"/>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3"/>
      <c r="F281" s="1"/>
      <c r="G281" s="4"/>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3"/>
      <c r="F282" s="1"/>
      <c r="G282" s="4"/>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3"/>
      <c r="F283" s="1"/>
      <c r="G283" s="4"/>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3"/>
      <c r="F284" s="1"/>
      <c r="G284" s="4"/>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3"/>
      <c r="F285" s="1"/>
      <c r="G285" s="4"/>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3"/>
      <c r="F286" s="1"/>
      <c r="G286" s="4"/>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3"/>
      <c r="F287" s="1"/>
      <c r="G287" s="4"/>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3"/>
      <c r="F288" s="1"/>
      <c r="G288" s="4"/>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3"/>
      <c r="F289" s="1"/>
      <c r="G289" s="4"/>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3"/>
      <c r="F290" s="1"/>
      <c r="G290" s="4"/>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3"/>
      <c r="F291" s="1"/>
      <c r="G291" s="4"/>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3"/>
      <c r="F292" s="1"/>
      <c r="G292" s="4"/>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3"/>
      <c r="F293" s="1"/>
      <c r="G293" s="4"/>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3"/>
      <c r="F294" s="1"/>
      <c r="G294" s="4"/>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3"/>
      <c r="F295" s="1"/>
      <c r="G295" s="4"/>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3"/>
      <c r="F296" s="1"/>
      <c r="G296" s="4"/>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3"/>
      <c r="F297" s="1"/>
      <c r="G297" s="4"/>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3"/>
      <c r="F298" s="1"/>
      <c r="G298" s="4"/>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3"/>
      <c r="F299" s="1"/>
      <c r="G299" s="4"/>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3"/>
      <c r="F300" s="1"/>
      <c r="G300" s="4"/>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3"/>
      <c r="F301" s="1"/>
      <c r="G301" s="4"/>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3"/>
      <c r="F302" s="1"/>
      <c r="G302" s="4"/>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3"/>
      <c r="F303" s="1"/>
      <c r="G303" s="4"/>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3"/>
      <c r="F304" s="1"/>
      <c r="G304" s="4"/>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3"/>
      <c r="F305" s="1"/>
      <c r="G305" s="4"/>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3"/>
      <c r="F306" s="1"/>
      <c r="G306" s="4"/>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3"/>
      <c r="F307" s="1"/>
      <c r="G307" s="4"/>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3"/>
      <c r="F308" s="1"/>
      <c r="G308" s="4"/>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3"/>
      <c r="F309" s="1"/>
      <c r="G309" s="4"/>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3"/>
      <c r="F310" s="1"/>
      <c r="G310" s="4"/>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3"/>
      <c r="F311" s="1"/>
      <c r="G311" s="4"/>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3"/>
      <c r="F312" s="1"/>
      <c r="G312" s="4"/>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3"/>
      <c r="F313" s="1"/>
      <c r="G313" s="4"/>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3"/>
      <c r="F314" s="1"/>
      <c r="G314" s="4"/>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3"/>
      <c r="F315" s="1"/>
      <c r="G315" s="4"/>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3"/>
      <c r="F316" s="1"/>
      <c r="G316" s="4"/>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3"/>
      <c r="F317" s="1"/>
      <c r="G317" s="4"/>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3"/>
      <c r="F318" s="1"/>
      <c r="G318" s="4"/>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3"/>
      <c r="F319" s="1"/>
      <c r="G319" s="4"/>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3"/>
      <c r="F320" s="1"/>
      <c r="G320" s="4"/>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3"/>
      <c r="F321" s="1"/>
      <c r="G321" s="4"/>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3"/>
      <c r="F322" s="1"/>
      <c r="G322" s="4"/>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3"/>
      <c r="F323" s="1"/>
      <c r="G323" s="4"/>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3"/>
      <c r="F324" s="1"/>
      <c r="G324" s="4"/>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3"/>
      <c r="F325" s="1"/>
      <c r="G325" s="4"/>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3"/>
      <c r="F326" s="1"/>
      <c r="G326" s="4"/>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3"/>
      <c r="F327" s="1"/>
      <c r="G327" s="4"/>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3"/>
      <c r="F328" s="1"/>
      <c r="G328" s="4"/>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3"/>
      <c r="F329" s="1"/>
      <c r="G329" s="4"/>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3"/>
      <c r="F330" s="1"/>
      <c r="G330" s="4"/>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3"/>
      <c r="F331" s="1"/>
      <c r="G331" s="4"/>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3"/>
      <c r="F332" s="1"/>
      <c r="G332" s="4"/>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3"/>
      <c r="F333" s="1"/>
      <c r="G333" s="4"/>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3"/>
      <c r="F334" s="1"/>
      <c r="G334" s="4"/>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3"/>
      <c r="F335" s="1"/>
      <c r="G335" s="4"/>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3"/>
      <c r="F336" s="1"/>
      <c r="G336" s="4"/>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3"/>
      <c r="F337" s="1"/>
      <c r="G337" s="4"/>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3"/>
      <c r="F338" s="1"/>
      <c r="G338" s="4"/>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3"/>
      <c r="F339" s="1"/>
      <c r="G339" s="4"/>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3"/>
      <c r="F340" s="1"/>
      <c r="G340" s="4"/>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3"/>
      <c r="F341" s="1"/>
      <c r="G341" s="4"/>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3"/>
      <c r="F342" s="1"/>
      <c r="G342" s="4"/>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3"/>
      <c r="F343" s="1"/>
      <c r="G343" s="4"/>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3"/>
      <c r="F344" s="1"/>
      <c r="G344" s="4"/>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3"/>
      <c r="F345" s="1"/>
      <c r="G345" s="4"/>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3"/>
      <c r="F346" s="1"/>
      <c r="G346" s="4"/>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3"/>
      <c r="F347" s="1"/>
      <c r="G347" s="4"/>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3"/>
      <c r="F348" s="1"/>
      <c r="G348" s="4"/>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3"/>
      <c r="F349" s="1"/>
      <c r="G349" s="4"/>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3"/>
      <c r="F350" s="1"/>
      <c r="G350" s="4"/>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3"/>
      <c r="F351" s="1"/>
      <c r="G351" s="4"/>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3"/>
      <c r="F352" s="1"/>
      <c r="G352" s="4"/>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3"/>
      <c r="F353" s="1"/>
      <c r="G353" s="4"/>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3"/>
      <c r="F354" s="1"/>
      <c r="G354" s="4"/>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3"/>
      <c r="F355" s="1"/>
      <c r="G355" s="4"/>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3"/>
      <c r="F356" s="1"/>
      <c r="G356" s="4"/>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3"/>
      <c r="F357" s="1"/>
      <c r="G357" s="4"/>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3"/>
      <c r="F358" s="1"/>
      <c r="G358" s="4"/>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3"/>
      <c r="F359" s="1"/>
      <c r="G359" s="4"/>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3"/>
      <c r="F360" s="1"/>
      <c r="G360" s="4"/>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3"/>
      <c r="F361" s="1"/>
      <c r="G361" s="4"/>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3"/>
      <c r="F362" s="1"/>
      <c r="G362" s="4"/>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3"/>
      <c r="F363" s="1"/>
      <c r="G363" s="4"/>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3"/>
      <c r="F364" s="1"/>
      <c r="G364" s="4"/>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3"/>
      <c r="F365" s="1"/>
      <c r="G365" s="4"/>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3"/>
      <c r="F366" s="1"/>
      <c r="G366" s="4"/>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3"/>
      <c r="F367" s="1"/>
      <c r="G367" s="4"/>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3"/>
      <c r="F368" s="1"/>
      <c r="G368" s="4"/>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3"/>
      <c r="F369" s="1"/>
      <c r="G369" s="4"/>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3"/>
      <c r="F370" s="1"/>
      <c r="G370" s="4"/>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3"/>
      <c r="F371" s="1"/>
      <c r="G371" s="4"/>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3"/>
      <c r="F372" s="1"/>
      <c r="G372" s="4"/>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3"/>
      <c r="F373" s="1"/>
      <c r="G373" s="4"/>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3"/>
      <c r="F374" s="1"/>
      <c r="G374" s="4"/>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3"/>
      <c r="F375" s="1"/>
      <c r="G375" s="4"/>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3"/>
      <c r="F376" s="1"/>
      <c r="G376" s="4"/>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3"/>
      <c r="F377" s="1"/>
      <c r="G377" s="4"/>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3"/>
      <c r="F378" s="1"/>
      <c r="G378" s="4"/>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3"/>
      <c r="F379" s="1"/>
      <c r="G379" s="4"/>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3"/>
      <c r="F380" s="1"/>
      <c r="G380" s="4"/>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3"/>
      <c r="F381" s="1"/>
      <c r="G381" s="4"/>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3"/>
      <c r="F382" s="1"/>
      <c r="G382" s="4"/>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3"/>
      <c r="F383" s="1"/>
      <c r="G383" s="4"/>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3"/>
      <c r="F384" s="1"/>
      <c r="G384" s="4"/>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3"/>
      <c r="F385" s="1"/>
      <c r="G385" s="4"/>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3"/>
      <c r="F386" s="1"/>
      <c r="G386" s="4"/>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3"/>
      <c r="F387" s="1"/>
      <c r="G387" s="4"/>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3"/>
      <c r="F388" s="1"/>
      <c r="G388" s="4"/>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3"/>
      <c r="F389" s="1"/>
      <c r="G389" s="4"/>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3"/>
      <c r="F390" s="1"/>
      <c r="G390" s="4"/>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3"/>
      <c r="F391" s="1"/>
      <c r="G391" s="4"/>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3"/>
      <c r="F392" s="1"/>
      <c r="G392" s="4"/>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3"/>
      <c r="F393" s="1"/>
      <c r="G393" s="4"/>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3"/>
      <c r="F394" s="1"/>
      <c r="G394" s="4"/>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3"/>
      <c r="F395" s="1"/>
      <c r="G395" s="4"/>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3"/>
      <c r="F396" s="1"/>
      <c r="G396" s="4"/>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3"/>
      <c r="F397" s="1"/>
      <c r="G397" s="4"/>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3"/>
      <c r="F398" s="1"/>
      <c r="G398" s="4"/>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3"/>
      <c r="F399" s="1"/>
      <c r="G399" s="4"/>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3"/>
      <c r="F400" s="1"/>
      <c r="G400" s="4"/>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3"/>
      <c r="F401" s="1"/>
      <c r="G401" s="4"/>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3"/>
      <c r="F402" s="1"/>
      <c r="G402" s="4"/>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3"/>
      <c r="F403" s="1"/>
      <c r="G403" s="4"/>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3"/>
      <c r="F404" s="1"/>
      <c r="G404" s="4"/>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3"/>
      <c r="F405" s="1"/>
      <c r="G405" s="4"/>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3"/>
      <c r="F406" s="1"/>
      <c r="G406" s="4"/>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3"/>
      <c r="F407" s="1"/>
      <c r="G407" s="4"/>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3"/>
      <c r="F408" s="1"/>
      <c r="G408" s="4"/>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3"/>
      <c r="F409" s="1"/>
      <c r="G409" s="4"/>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3"/>
      <c r="F410" s="1"/>
      <c r="G410" s="4"/>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3"/>
      <c r="F411" s="1"/>
      <c r="G411" s="4"/>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3"/>
      <c r="F412" s="1"/>
      <c r="G412" s="4"/>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3"/>
      <c r="F413" s="1"/>
      <c r="G413" s="4"/>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3"/>
      <c r="F414" s="1"/>
      <c r="G414" s="4"/>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3"/>
      <c r="F415" s="1"/>
      <c r="G415" s="4"/>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3"/>
      <c r="F416" s="1"/>
      <c r="G416" s="4"/>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3"/>
      <c r="F417" s="1"/>
      <c r="G417" s="4"/>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3"/>
      <c r="F418" s="1"/>
      <c r="G418" s="4"/>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3"/>
      <c r="F419" s="1"/>
      <c r="G419" s="4"/>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3"/>
      <c r="F420" s="1"/>
      <c r="G420" s="4"/>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3"/>
      <c r="F421" s="1"/>
      <c r="G421" s="4"/>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3"/>
      <c r="F422" s="1"/>
      <c r="G422" s="4"/>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3"/>
      <c r="F423" s="1"/>
      <c r="G423" s="4"/>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3"/>
      <c r="F424" s="1"/>
      <c r="G424" s="4"/>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3"/>
      <c r="F425" s="1"/>
      <c r="G425" s="4"/>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3"/>
      <c r="F426" s="1"/>
      <c r="G426" s="4"/>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3"/>
      <c r="F427" s="1"/>
      <c r="G427" s="4"/>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3"/>
      <c r="F428" s="1"/>
      <c r="G428" s="4"/>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3"/>
      <c r="F429" s="1"/>
      <c r="G429" s="4"/>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3"/>
      <c r="F430" s="1"/>
      <c r="G430" s="4"/>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3"/>
      <c r="F431" s="1"/>
      <c r="G431" s="4"/>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3"/>
      <c r="F432" s="1"/>
      <c r="G432" s="4"/>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3"/>
      <c r="F433" s="1"/>
      <c r="G433" s="4"/>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3"/>
      <c r="F434" s="1"/>
      <c r="G434" s="4"/>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3"/>
      <c r="F435" s="1"/>
      <c r="G435" s="4"/>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3"/>
      <c r="F436" s="1"/>
      <c r="G436" s="4"/>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3"/>
      <c r="F437" s="1"/>
      <c r="G437" s="4"/>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3"/>
      <c r="F438" s="1"/>
      <c r="G438" s="4"/>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3"/>
      <c r="F439" s="1"/>
      <c r="G439" s="4"/>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3"/>
      <c r="F440" s="1"/>
      <c r="G440" s="4"/>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3"/>
      <c r="F441" s="1"/>
      <c r="G441" s="4"/>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3"/>
      <c r="F442" s="1"/>
      <c r="G442" s="4"/>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3"/>
      <c r="F443" s="1"/>
      <c r="G443" s="4"/>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3"/>
      <c r="F444" s="1"/>
      <c r="G444" s="4"/>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3"/>
      <c r="F445" s="1"/>
      <c r="G445" s="4"/>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3"/>
      <c r="F446" s="1"/>
      <c r="G446" s="4"/>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3"/>
      <c r="F447" s="1"/>
      <c r="G447" s="4"/>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3"/>
      <c r="F448" s="1"/>
      <c r="G448" s="4"/>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3"/>
      <c r="F449" s="1"/>
      <c r="G449" s="4"/>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3"/>
      <c r="F450" s="1"/>
      <c r="G450" s="4"/>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3"/>
      <c r="F451" s="1"/>
      <c r="G451" s="4"/>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3"/>
      <c r="F452" s="1"/>
      <c r="G452" s="4"/>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3"/>
      <c r="F453" s="1"/>
      <c r="G453" s="4"/>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3"/>
      <c r="F454" s="1"/>
      <c r="G454" s="4"/>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3"/>
      <c r="F455" s="1"/>
      <c r="G455" s="4"/>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3"/>
      <c r="F456" s="1"/>
      <c r="G456" s="4"/>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3"/>
      <c r="F457" s="1"/>
      <c r="G457" s="4"/>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3"/>
      <c r="F458" s="1"/>
      <c r="G458" s="4"/>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3"/>
      <c r="F459" s="1"/>
      <c r="G459" s="4"/>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3"/>
      <c r="F460" s="1"/>
      <c r="G460" s="4"/>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3"/>
      <c r="F461" s="1"/>
      <c r="G461" s="4"/>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3"/>
      <c r="F462" s="1"/>
      <c r="G462" s="4"/>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3"/>
      <c r="F463" s="1"/>
      <c r="G463" s="4"/>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3"/>
      <c r="F464" s="1"/>
      <c r="G464" s="4"/>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3"/>
      <c r="F465" s="1"/>
      <c r="G465" s="4"/>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3"/>
      <c r="F466" s="1"/>
      <c r="G466" s="4"/>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3"/>
      <c r="F467" s="1"/>
      <c r="G467" s="4"/>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3"/>
      <c r="F468" s="1"/>
      <c r="G468" s="4"/>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3"/>
      <c r="F469" s="1"/>
      <c r="G469" s="4"/>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3"/>
      <c r="F470" s="1"/>
      <c r="G470" s="4"/>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3"/>
      <c r="F471" s="1"/>
      <c r="G471" s="4"/>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3"/>
      <c r="F472" s="1"/>
      <c r="G472" s="4"/>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3"/>
      <c r="F473" s="1"/>
      <c r="G473" s="4"/>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3"/>
      <c r="F474" s="1"/>
      <c r="G474" s="4"/>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3"/>
      <c r="F475" s="1"/>
      <c r="G475" s="4"/>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3"/>
      <c r="F476" s="1"/>
      <c r="G476" s="4"/>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3"/>
      <c r="F477" s="1"/>
      <c r="G477" s="4"/>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3"/>
      <c r="F478" s="1"/>
      <c r="G478" s="4"/>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3"/>
      <c r="F479" s="1"/>
      <c r="G479" s="4"/>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3"/>
      <c r="F480" s="1"/>
      <c r="G480" s="4"/>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3"/>
      <c r="F481" s="1"/>
      <c r="G481" s="4"/>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3"/>
      <c r="F482" s="1"/>
      <c r="G482" s="4"/>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3"/>
      <c r="F483" s="1"/>
      <c r="G483" s="4"/>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3"/>
      <c r="F484" s="1"/>
      <c r="G484" s="4"/>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3"/>
      <c r="F485" s="1"/>
      <c r="G485" s="4"/>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3"/>
      <c r="F486" s="1"/>
      <c r="G486" s="4"/>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3"/>
      <c r="F487" s="1"/>
      <c r="G487" s="4"/>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3"/>
      <c r="F488" s="1"/>
      <c r="G488" s="4"/>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3"/>
      <c r="F489" s="1"/>
      <c r="G489" s="4"/>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3"/>
      <c r="F490" s="1"/>
      <c r="G490" s="4"/>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3"/>
      <c r="F491" s="1"/>
      <c r="G491" s="4"/>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3"/>
      <c r="F492" s="1"/>
      <c r="G492" s="4"/>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3"/>
      <c r="F493" s="1"/>
      <c r="G493" s="4"/>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3"/>
      <c r="F494" s="1"/>
      <c r="G494" s="4"/>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3"/>
      <c r="F495" s="1"/>
      <c r="G495" s="4"/>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3"/>
      <c r="F496" s="1"/>
      <c r="G496" s="4"/>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3"/>
      <c r="F497" s="1"/>
      <c r="G497" s="4"/>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3"/>
      <c r="F498" s="1"/>
      <c r="G498" s="4"/>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3"/>
      <c r="F499" s="1"/>
      <c r="G499" s="4"/>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3"/>
      <c r="F500" s="1"/>
      <c r="G500" s="4"/>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3"/>
      <c r="F501" s="1"/>
      <c r="G501" s="4"/>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3"/>
      <c r="F502" s="1"/>
      <c r="G502" s="4"/>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3"/>
      <c r="F503" s="1"/>
      <c r="G503" s="4"/>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3"/>
      <c r="F504" s="1"/>
      <c r="G504" s="4"/>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3"/>
      <c r="F505" s="1"/>
      <c r="G505" s="4"/>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3"/>
      <c r="F506" s="1"/>
      <c r="G506" s="4"/>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3"/>
      <c r="F507" s="1"/>
      <c r="G507" s="4"/>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3"/>
      <c r="F508" s="1"/>
      <c r="G508" s="4"/>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3"/>
      <c r="F509" s="1"/>
      <c r="G509" s="4"/>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3"/>
      <c r="F510" s="1"/>
      <c r="G510" s="4"/>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3"/>
      <c r="F511" s="1"/>
      <c r="G511" s="4"/>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3"/>
      <c r="F512" s="1"/>
      <c r="G512" s="4"/>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3"/>
      <c r="F513" s="1"/>
      <c r="G513" s="4"/>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3"/>
      <c r="F514" s="1"/>
      <c r="G514" s="4"/>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3"/>
      <c r="F515" s="1"/>
      <c r="G515" s="4"/>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3"/>
      <c r="F516" s="1"/>
      <c r="G516" s="4"/>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3"/>
      <c r="F517" s="1"/>
      <c r="G517" s="4"/>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3"/>
      <c r="F518" s="1"/>
      <c r="G518" s="4"/>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3"/>
      <c r="F519" s="1"/>
      <c r="G519" s="4"/>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3"/>
      <c r="F520" s="1"/>
      <c r="G520" s="4"/>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3"/>
      <c r="F521" s="1"/>
      <c r="G521" s="4"/>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3"/>
      <c r="F522" s="1"/>
      <c r="G522" s="4"/>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3"/>
      <c r="F523" s="1"/>
      <c r="G523" s="4"/>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3"/>
      <c r="F524" s="1"/>
      <c r="G524" s="4"/>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3"/>
      <c r="F525" s="1"/>
      <c r="G525" s="4"/>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3"/>
      <c r="F526" s="1"/>
      <c r="G526" s="4"/>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3"/>
      <c r="F527" s="1"/>
      <c r="G527" s="4"/>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3"/>
      <c r="F528" s="1"/>
      <c r="G528" s="4"/>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3"/>
      <c r="F529" s="1"/>
      <c r="G529" s="4"/>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3"/>
      <c r="F530" s="1"/>
      <c r="G530" s="4"/>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3"/>
      <c r="F531" s="1"/>
      <c r="G531" s="4"/>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3"/>
      <c r="F532" s="1"/>
      <c r="G532" s="4"/>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3"/>
      <c r="F533" s="1"/>
      <c r="G533" s="4"/>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3"/>
      <c r="F534" s="1"/>
      <c r="G534" s="4"/>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3"/>
      <c r="F535" s="1"/>
      <c r="G535" s="4"/>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3"/>
      <c r="F536" s="1"/>
      <c r="G536" s="4"/>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3"/>
      <c r="F537" s="1"/>
      <c r="G537" s="4"/>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3"/>
      <c r="F538" s="1"/>
      <c r="G538" s="4"/>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3"/>
      <c r="F539" s="1"/>
      <c r="G539" s="4"/>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3"/>
      <c r="F540" s="1"/>
      <c r="G540" s="4"/>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3"/>
      <c r="F541" s="1"/>
      <c r="G541" s="4"/>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3"/>
      <c r="F542" s="1"/>
      <c r="G542" s="4"/>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3"/>
      <c r="F543" s="1"/>
      <c r="G543" s="4"/>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3"/>
      <c r="F544" s="1"/>
      <c r="G544" s="4"/>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3"/>
      <c r="F545" s="1"/>
      <c r="G545" s="4"/>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3"/>
      <c r="F546" s="1"/>
      <c r="G546" s="4"/>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3"/>
      <c r="F547" s="1"/>
      <c r="G547" s="4"/>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3"/>
      <c r="F548" s="1"/>
      <c r="G548" s="4"/>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3"/>
      <c r="F549" s="1"/>
      <c r="G549" s="4"/>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3"/>
      <c r="F550" s="1"/>
      <c r="G550" s="4"/>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3"/>
      <c r="F551" s="1"/>
      <c r="G551" s="4"/>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3"/>
      <c r="F552" s="1"/>
      <c r="G552" s="4"/>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3"/>
      <c r="F553" s="1"/>
      <c r="G553" s="4"/>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3"/>
      <c r="F554" s="1"/>
      <c r="G554" s="4"/>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3"/>
      <c r="F555" s="1"/>
      <c r="G555" s="4"/>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3"/>
      <c r="F556" s="1"/>
      <c r="G556" s="4"/>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3"/>
      <c r="F557" s="1"/>
      <c r="G557" s="4"/>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3"/>
      <c r="F558" s="1"/>
      <c r="G558" s="4"/>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3"/>
      <c r="F559" s="1"/>
      <c r="G559" s="4"/>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3"/>
      <c r="F560" s="1"/>
      <c r="G560" s="4"/>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3"/>
      <c r="F561" s="1"/>
      <c r="G561" s="4"/>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3"/>
      <c r="F562" s="1"/>
      <c r="G562" s="4"/>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3"/>
      <c r="F563" s="1"/>
      <c r="G563" s="4"/>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3"/>
      <c r="F564" s="1"/>
      <c r="G564" s="4"/>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3"/>
      <c r="F565" s="1"/>
      <c r="G565" s="4"/>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3"/>
      <c r="F566" s="1"/>
      <c r="G566" s="4"/>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3"/>
      <c r="F567" s="1"/>
      <c r="G567" s="4"/>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3"/>
      <c r="F568" s="1"/>
      <c r="G568" s="4"/>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3"/>
      <c r="F569" s="1"/>
      <c r="G569" s="4"/>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3"/>
      <c r="F570" s="1"/>
      <c r="G570" s="4"/>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3"/>
      <c r="F571" s="1"/>
      <c r="G571" s="4"/>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3"/>
      <c r="F572" s="1"/>
      <c r="G572" s="4"/>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3"/>
      <c r="F573" s="1"/>
      <c r="G573" s="4"/>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3"/>
      <c r="F574" s="1"/>
      <c r="G574" s="4"/>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3"/>
      <c r="F575" s="1"/>
      <c r="G575" s="4"/>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3"/>
      <c r="F576" s="1"/>
      <c r="G576" s="4"/>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3"/>
      <c r="F577" s="1"/>
      <c r="G577" s="4"/>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3"/>
      <c r="F578" s="1"/>
      <c r="G578" s="4"/>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3"/>
      <c r="F579" s="1"/>
      <c r="G579" s="4"/>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3"/>
      <c r="F580" s="1"/>
      <c r="G580" s="4"/>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3"/>
      <c r="F581" s="1"/>
      <c r="G581" s="4"/>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3"/>
      <c r="F582" s="1"/>
      <c r="G582" s="4"/>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3"/>
      <c r="F583" s="1"/>
      <c r="G583" s="4"/>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3"/>
      <c r="F584" s="1"/>
      <c r="G584" s="4"/>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3"/>
      <c r="F585" s="1"/>
      <c r="G585" s="4"/>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3"/>
      <c r="F586" s="1"/>
      <c r="G586" s="4"/>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3"/>
      <c r="F587" s="1"/>
      <c r="G587" s="4"/>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3"/>
      <c r="F588" s="1"/>
      <c r="G588" s="4"/>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3"/>
      <c r="F589" s="1"/>
      <c r="G589" s="4"/>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3"/>
      <c r="F590" s="1"/>
      <c r="G590" s="4"/>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3"/>
      <c r="F591" s="1"/>
      <c r="G591" s="4"/>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3"/>
      <c r="F592" s="1"/>
      <c r="G592" s="4"/>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3"/>
      <c r="F593" s="1"/>
      <c r="G593" s="4"/>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3"/>
      <c r="F594" s="1"/>
      <c r="G594" s="4"/>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3"/>
      <c r="F595" s="1"/>
      <c r="G595" s="4"/>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3"/>
      <c r="F596" s="1"/>
      <c r="G596" s="4"/>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3"/>
      <c r="F597" s="1"/>
      <c r="G597" s="4"/>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3"/>
      <c r="F598" s="1"/>
      <c r="G598" s="4"/>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3"/>
      <c r="F599" s="1"/>
      <c r="G599" s="4"/>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3"/>
      <c r="F600" s="1"/>
      <c r="G600" s="4"/>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3"/>
      <c r="F601" s="1"/>
      <c r="G601" s="4"/>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3"/>
      <c r="F602" s="1"/>
      <c r="G602" s="4"/>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3"/>
      <c r="F603" s="1"/>
      <c r="G603" s="4"/>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3"/>
      <c r="F604" s="1"/>
      <c r="G604" s="4"/>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3"/>
      <c r="F605" s="1"/>
      <c r="G605" s="4"/>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3"/>
      <c r="F606" s="1"/>
      <c r="G606" s="4"/>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3"/>
      <c r="F607" s="1"/>
      <c r="G607" s="4"/>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3"/>
      <c r="F608" s="1"/>
      <c r="G608" s="4"/>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3"/>
      <c r="F609" s="1"/>
      <c r="G609" s="4"/>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3"/>
      <c r="F610" s="1"/>
      <c r="G610" s="4"/>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3"/>
      <c r="F611" s="1"/>
      <c r="G611" s="4"/>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3"/>
      <c r="F612" s="1"/>
      <c r="G612" s="4"/>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3"/>
      <c r="F613" s="1"/>
      <c r="G613" s="4"/>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3"/>
      <c r="F614" s="1"/>
      <c r="G614" s="4"/>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3"/>
      <c r="F615" s="1"/>
      <c r="G615" s="4"/>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3"/>
      <c r="F616" s="1"/>
      <c r="G616" s="4"/>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3"/>
      <c r="F617" s="1"/>
      <c r="G617" s="4"/>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3"/>
      <c r="F618" s="1"/>
      <c r="G618" s="4"/>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3"/>
      <c r="F619" s="1"/>
      <c r="G619" s="4"/>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3"/>
      <c r="F620" s="1"/>
      <c r="G620" s="4"/>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3"/>
      <c r="F621" s="1"/>
      <c r="G621" s="4"/>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3"/>
      <c r="F622" s="1"/>
      <c r="G622" s="4"/>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3"/>
      <c r="F623" s="1"/>
      <c r="G623" s="4"/>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3"/>
      <c r="F624" s="1"/>
      <c r="G624" s="4"/>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3"/>
      <c r="F625" s="1"/>
      <c r="G625" s="4"/>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3"/>
      <c r="F626" s="1"/>
      <c r="G626" s="4"/>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3"/>
      <c r="F627" s="1"/>
      <c r="G627" s="4"/>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3"/>
      <c r="F628" s="1"/>
      <c r="G628" s="4"/>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3"/>
      <c r="F629" s="1"/>
      <c r="G629" s="4"/>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3"/>
      <c r="F630" s="1"/>
      <c r="G630" s="4"/>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3"/>
      <c r="F631" s="1"/>
      <c r="G631" s="4"/>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3"/>
      <c r="F632" s="1"/>
      <c r="G632" s="4"/>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3"/>
      <c r="F633" s="1"/>
      <c r="G633" s="4"/>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3"/>
      <c r="F634" s="1"/>
      <c r="G634" s="4"/>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3"/>
      <c r="F635" s="1"/>
      <c r="G635" s="4"/>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3"/>
      <c r="F636" s="1"/>
      <c r="G636" s="4"/>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3"/>
      <c r="F637" s="1"/>
      <c r="G637" s="4"/>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3"/>
      <c r="F638" s="1"/>
      <c r="G638" s="4"/>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3"/>
      <c r="F639" s="1"/>
      <c r="G639" s="4"/>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3"/>
      <c r="F640" s="1"/>
      <c r="G640" s="4"/>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3"/>
      <c r="F641" s="1"/>
      <c r="G641" s="4"/>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3"/>
      <c r="F642" s="1"/>
      <c r="G642" s="4"/>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3"/>
      <c r="F643" s="1"/>
      <c r="G643" s="4"/>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3"/>
      <c r="F644" s="1"/>
      <c r="G644" s="4"/>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3"/>
      <c r="F645" s="1"/>
      <c r="G645" s="4"/>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3"/>
      <c r="F646" s="1"/>
      <c r="G646" s="4"/>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3"/>
      <c r="F647" s="1"/>
      <c r="G647" s="4"/>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3"/>
      <c r="F648" s="1"/>
      <c r="G648" s="4"/>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3"/>
      <c r="F649" s="1"/>
      <c r="G649" s="4"/>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3"/>
      <c r="F650" s="1"/>
      <c r="G650" s="4"/>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3"/>
      <c r="F651" s="1"/>
      <c r="G651" s="4"/>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3"/>
      <c r="F652" s="1"/>
      <c r="G652" s="4"/>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3"/>
      <c r="F653" s="1"/>
      <c r="G653" s="4"/>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3"/>
      <c r="F654" s="1"/>
      <c r="G654" s="4"/>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3"/>
      <c r="F655" s="1"/>
      <c r="G655" s="4"/>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3"/>
      <c r="F656" s="1"/>
      <c r="G656" s="4"/>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3"/>
      <c r="F657" s="1"/>
      <c r="G657" s="4"/>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3"/>
      <c r="F658" s="1"/>
      <c r="G658" s="4"/>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3"/>
      <c r="F659" s="1"/>
      <c r="G659" s="4"/>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3"/>
      <c r="F660" s="1"/>
      <c r="G660" s="4"/>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3"/>
      <c r="F661" s="1"/>
      <c r="G661" s="4"/>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3"/>
      <c r="F662" s="1"/>
      <c r="G662" s="4"/>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3"/>
      <c r="F663" s="1"/>
      <c r="G663" s="4"/>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3"/>
      <c r="F664" s="1"/>
      <c r="G664" s="4"/>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3"/>
      <c r="F665" s="1"/>
      <c r="G665" s="4"/>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3"/>
      <c r="F666" s="1"/>
      <c r="G666" s="4"/>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3"/>
      <c r="F667" s="1"/>
      <c r="G667" s="4"/>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3"/>
      <c r="F668" s="1"/>
      <c r="G668" s="4"/>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3"/>
      <c r="F669" s="1"/>
      <c r="G669" s="4"/>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3"/>
      <c r="F670" s="1"/>
      <c r="G670" s="4"/>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3"/>
      <c r="F671" s="1"/>
      <c r="G671" s="4"/>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3"/>
      <c r="F672" s="1"/>
      <c r="G672" s="4"/>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3"/>
      <c r="F673" s="1"/>
      <c r="G673" s="4"/>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3"/>
      <c r="F674" s="1"/>
      <c r="G674" s="4"/>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3"/>
      <c r="F675" s="1"/>
      <c r="G675" s="4"/>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3"/>
      <c r="F676" s="1"/>
      <c r="G676" s="4"/>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3"/>
      <c r="F677" s="1"/>
      <c r="G677" s="4"/>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3"/>
      <c r="F678" s="1"/>
      <c r="G678" s="4"/>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3"/>
      <c r="F679" s="1"/>
      <c r="G679" s="4"/>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3"/>
      <c r="F680" s="1"/>
      <c r="G680" s="4"/>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3"/>
      <c r="F681" s="1"/>
      <c r="G681" s="4"/>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3"/>
      <c r="F682" s="1"/>
      <c r="G682" s="4"/>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3"/>
      <c r="F683" s="1"/>
      <c r="G683" s="4"/>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3"/>
      <c r="F684" s="1"/>
      <c r="G684" s="4"/>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3"/>
      <c r="F685" s="1"/>
      <c r="G685" s="4"/>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3"/>
      <c r="F686" s="1"/>
      <c r="G686" s="4"/>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3"/>
      <c r="F687" s="1"/>
      <c r="G687" s="4"/>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3"/>
      <c r="F688" s="1"/>
      <c r="G688" s="4"/>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3"/>
      <c r="F689" s="1"/>
      <c r="G689" s="4"/>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3"/>
      <c r="F690" s="1"/>
      <c r="G690" s="4"/>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3"/>
      <c r="F691" s="1"/>
      <c r="G691" s="4"/>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3"/>
      <c r="F692" s="1"/>
      <c r="G692" s="4"/>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3"/>
      <c r="F693" s="1"/>
      <c r="G693" s="4"/>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3"/>
      <c r="F694" s="1"/>
      <c r="G694" s="4"/>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3"/>
      <c r="F695" s="1"/>
      <c r="G695" s="4"/>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3"/>
      <c r="F696" s="1"/>
      <c r="G696" s="4"/>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3"/>
      <c r="F697" s="1"/>
      <c r="G697" s="4"/>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3"/>
      <c r="F698" s="1"/>
      <c r="G698" s="4"/>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3"/>
      <c r="F699" s="1"/>
      <c r="G699" s="4"/>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3"/>
      <c r="F700" s="1"/>
      <c r="G700" s="4"/>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3"/>
      <c r="F701" s="1"/>
      <c r="G701" s="4"/>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3"/>
      <c r="F702" s="1"/>
      <c r="G702" s="4"/>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3"/>
      <c r="F703" s="1"/>
      <c r="G703" s="4"/>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3"/>
      <c r="F704" s="1"/>
      <c r="G704" s="4"/>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3"/>
      <c r="F705" s="1"/>
      <c r="G705" s="4"/>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3"/>
      <c r="F706" s="1"/>
      <c r="G706" s="4"/>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3"/>
      <c r="F707" s="1"/>
      <c r="G707" s="4"/>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3"/>
      <c r="F708" s="1"/>
      <c r="G708" s="4"/>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3"/>
      <c r="F709" s="1"/>
      <c r="G709" s="4"/>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3"/>
      <c r="F710" s="1"/>
      <c r="G710" s="4"/>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3"/>
      <c r="F711" s="1"/>
      <c r="G711" s="4"/>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3"/>
      <c r="F712" s="1"/>
      <c r="G712" s="4"/>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3"/>
      <c r="F713" s="1"/>
      <c r="G713" s="4"/>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3"/>
      <c r="F714" s="1"/>
      <c r="G714" s="4"/>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3"/>
      <c r="F715" s="1"/>
      <c r="G715" s="4"/>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3"/>
      <c r="F716" s="1"/>
      <c r="G716" s="4"/>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3"/>
      <c r="F717" s="1"/>
      <c r="G717" s="4"/>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3"/>
      <c r="F718" s="1"/>
      <c r="G718" s="4"/>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3"/>
      <c r="F719" s="1"/>
      <c r="G719" s="4"/>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3"/>
      <c r="F720" s="1"/>
      <c r="G720" s="4"/>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3"/>
      <c r="F721" s="1"/>
      <c r="G721" s="4"/>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3"/>
      <c r="F722" s="1"/>
      <c r="G722" s="4"/>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3"/>
      <c r="F723" s="1"/>
      <c r="G723" s="4"/>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3"/>
      <c r="F724" s="1"/>
      <c r="G724" s="4"/>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3"/>
      <c r="F725" s="1"/>
      <c r="G725" s="4"/>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3"/>
      <c r="F726" s="1"/>
      <c r="G726" s="4"/>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3"/>
      <c r="F727" s="1"/>
      <c r="G727" s="4"/>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3"/>
      <c r="F728" s="1"/>
      <c r="G728" s="4"/>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3"/>
      <c r="F729" s="1"/>
      <c r="G729" s="4"/>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3"/>
      <c r="F730" s="1"/>
      <c r="G730" s="4"/>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3"/>
      <c r="F731" s="1"/>
      <c r="G731" s="4"/>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3"/>
      <c r="F732" s="1"/>
      <c r="G732" s="4"/>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3"/>
      <c r="F733" s="1"/>
      <c r="G733" s="4"/>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3"/>
      <c r="F734" s="1"/>
      <c r="G734" s="4"/>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3"/>
      <c r="F735" s="1"/>
      <c r="G735" s="4"/>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3"/>
      <c r="F736" s="1"/>
      <c r="G736" s="4"/>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3"/>
      <c r="F737" s="1"/>
      <c r="G737" s="4"/>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3"/>
      <c r="F738" s="1"/>
      <c r="G738" s="4"/>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3"/>
      <c r="F739" s="1"/>
      <c r="G739" s="4"/>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3"/>
      <c r="F740" s="1"/>
      <c r="G740" s="4"/>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3"/>
      <c r="F741" s="1"/>
      <c r="G741" s="4"/>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3"/>
      <c r="F742" s="1"/>
      <c r="G742" s="4"/>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3"/>
      <c r="F743" s="1"/>
      <c r="G743" s="4"/>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3"/>
      <c r="F744" s="1"/>
      <c r="G744" s="4"/>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3"/>
      <c r="F745" s="1"/>
      <c r="G745" s="4"/>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3"/>
      <c r="F746" s="1"/>
      <c r="G746" s="4"/>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3"/>
      <c r="F747" s="1"/>
      <c r="G747" s="4"/>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3"/>
      <c r="F748" s="1"/>
      <c r="G748" s="4"/>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3"/>
      <c r="F749" s="1"/>
      <c r="G749" s="4"/>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3"/>
      <c r="F750" s="1"/>
      <c r="G750" s="4"/>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3"/>
      <c r="F751" s="1"/>
      <c r="G751" s="4"/>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3"/>
      <c r="F752" s="1"/>
      <c r="G752" s="4"/>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3"/>
      <c r="F753" s="1"/>
      <c r="G753" s="4"/>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3"/>
      <c r="F754" s="1"/>
      <c r="G754" s="4"/>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3"/>
      <c r="F755" s="1"/>
      <c r="G755" s="4"/>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3"/>
      <c r="F756" s="1"/>
      <c r="G756" s="4"/>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3"/>
      <c r="F757" s="1"/>
      <c r="G757" s="4"/>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3"/>
      <c r="F758" s="1"/>
      <c r="G758" s="4"/>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3"/>
      <c r="F759" s="1"/>
      <c r="G759" s="4"/>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3"/>
      <c r="F760" s="1"/>
      <c r="G760" s="4"/>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3"/>
      <c r="F761" s="1"/>
      <c r="G761" s="4"/>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3"/>
      <c r="F762" s="1"/>
      <c r="G762" s="4"/>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3"/>
      <c r="F763" s="1"/>
      <c r="G763" s="4"/>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3"/>
      <c r="F764" s="1"/>
      <c r="G764" s="4"/>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3"/>
      <c r="F765" s="1"/>
      <c r="G765" s="4"/>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3"/>
      <c r="F766" s="1"/>
      <c r="G766" s="4"/>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3"/>
      <c r="F767" s="1"/>
      <c r="G767" s="4"/>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3"/>
      <c r="F768" s="1"/>
      <c r="G768" s="4"/>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3"/>
      <c r="F769" s="1"/>
      <c r="G769" s="4"/>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3"/>
      <c r="F770" s="1"/>
      <c r="G770" s="4"/>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3"/>
      <c r="F771" s="1"/>
      <c r="G771" s="4"/>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3"/>
      <c r="F772" s="1"/>
      <c r="G772" s="4"/>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3"/>
      <c r="F773" s="1"/>
      <c r="G773" s="4"/>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3"/>
      <c r="F774" s="1"/>
      <c r="G774" s="4"/>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3"/>
      <c r="F775" s="1"/>
      <c r="G775" s="4"/>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3"/>
      <c r="F776" s="1"/>
      <c r="G776" s="4"/>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3"/>
      <c r="F777" s="1"/>
      <c r="G777" s="4"/>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3"/>
      <c r="F778" s="1"/>
      <c r="G778" s="4"/>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3"/>
      <c r="F779" s="1"/>
      <c r="G779" s="4"/>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3"/>
      <c r="F780" s="1"/>
      <c r="G780" s="4"/>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3"/>
      <c r="F781" s="1"/>
      <c r="G781" s="4"/>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3"/>
      <c r="F782" s="1"/>
      <c r="G782" s="4"/>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3"/>
      <c r="F783" s="1"/>
      <c r="G783" s="4"/>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3"/>
      <c r="F784" s="1"/>
      <c r="G784" s="4"/>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3"/>
      <c r="F785" s="1"/>
      <c r="G785" s="4"/>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3"/>
      <c r="F786" s="1"/>
      <c r="G786" s="4"/>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3"/>
      <c r="F787" s="1"/>
      <c r="G787" s="4"/>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3"/>
      <c r="F788" s="1"/>
      <c r="G788" s="4"/>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3"/>
      <c r="F789" s="1"/>
      <c r="G789" s="4"/>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3"/>
      <c r="F790" s="1"/>
      <c r="G790" s="4"/>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3"/>
      <c r="F791" s="1"/>
      <c r="G791" s="4"/>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3"/>
      <c r="F792" s="1"/>
      <c r="G792" s="4"/>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3"/>
      <c r="F793" s="1"/>
      <c r="G793" s="4"/>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3"/>
      <c r="F794" s="1"/>
      <c r="G794" s="4"/>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3"/>
      <c r="F795" s="1"/>
      <c r="G795" s="4"/>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3"/>
      <c r="F796" s="1"/>
      <c r="G796" s="4"/>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3"/>
      <c r="F797" s="1"/>
      <c r="G797" s="4"/>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3"/>
      <c r="F798" s="1"/>
      <c r="G798" s="4"/>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3"/>
      <c r="F799" s="1"/>
      <c r="G799" s="4"/>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3"/>
      <c r="F800" s="1"/>
      <c r="G800" s="4"/>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3"/>
      <c r="F801" s="1"/>
      <c r="G801" s="4"/>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3"/>
      <c r="F802" s="1"/>
      <c r="G802" s="4"/>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3"/>
      <c r="F803" s="1"/>
      <c r="G803" s="4"/>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3"/>
      <c r="F804" s="1"/>
      <c r="G804" s="4"/>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3"/>
      <c r="F805" s="1"/>
      <c r="G805" s="4"/>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3"/>
      <c r="F806" s="1"/>
      <c r="G806" s="4"/>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3"/>
      <c r="F807" s="1"/>
      <c r="G807" s="4"/>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3"/>
      <c r="F808" s="1"/>
      <c r="G808" s="4"/>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3"/>
      <c r="F809" s="1"/>
      <c r="G809" s="4"/>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3"/>
      <c r="F810" s="1"/>
      <c r="G810" s="4"/>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3"/>
      <c r="F811" s="1"/>
      <c r="G811" s="4"/>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3"/>
      <c r="F812" s="1"/>
      <c r="G812" s="4"/>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3"/>
      <c r="F813" s="1"/>
      <c r="G813" s="4"/>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3"/>
      <c r="F814" s="1"/>
      <c r="G814" s="4"/>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3"/>
      <c r="F815" s="1"/>
      <c r="G815" s="4"/>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3"/>
      <c r="F816" s="1"/>
      <c r="G816" s="4"/>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3"/>
      <c r="F817" s="1"/>
      <c r="G817" s="4"/>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3"/>
      <c r="F818" s="1"/>
      <c r="G818" s="4"/>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3"/>
      <c r="F819" s="1"/>
      <c r="G819" s="4"/>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3"/>
      <c r="F820" s="1"/>
      <c r="G820" s="4"/>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3"/>
      <c r="F821" s="1"/>
      <c r="G821" s="4"/>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3"/>
      <c r="F822" s="1"/>
      <c r="G822" s="4"/>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3"/>
      <c r="F823" s="1"/>
      <c r="G823" s="4"/>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3"/>
      <c r="F824" s="1"/>
      <c r="G824" s="4"/>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3"/>
      <c r="F825" s="1"/>
      <c r="G825" s="4"/>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3"/>
      <c r="F826" s="1"/>
      <c r="G826" s="4"/>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3"/>
      <c r="F827" s="1"/>
      <c r="G827" s="4"/>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3"/>
      <c r="F828" s="1"/>
      <c r="G828" s="4"/>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3"/>
      <c r="F829" s="1"/>
      <c r="G829" s="4"/>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3"/>
      <c r="F830" s="1"/>
      <c r="G830" s="4"/>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3"/>
      <c r="F831" s="1"/>
      <c r="G831" s="4"/>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3"/>
      <c r="F832" s="1"/>
      <c r="G832" s="4"/>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3"/>
      <c r="F833" s="1"/>
      <c r="G833" s="4"/>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3"/>
      <c r="F834" s="1"/>
      <c r="G834" s="4"/>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3"/>
      <c r="F835" s="1"/>
      <c r="G835" s="4"/>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3"/>
      <c r="F836" s="1"/>
      <c r="G836" s="4"/>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3"/>
      <c r="F837" s="1"/>
      <c r="G837" s="4"/>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3"/>
      <c r="F838" s="1"/>
      <c r="G838" s="4"/>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3"/>
      <c r="F839" s="1"/>
      <c r="G839" s="4"/>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3"/>
      <c r="F840" s="1"/>
      <c r="G840" s="4"/>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3"/>
      <c r="F841" s="1"/>
      <c r="G841" s="4"/>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3"/>
      <c r="F842" s="1"/>
      <c r="G842" s="4"/>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3"/>
      <c r="F843" s="1"/>
      <c r="G843" s="4"/>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3"/>
      <c r="F844" s="1"/>
      <c r="G844" s="4"/>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3"/>
      <c r="F845" s="1"/>
      <c r="G845" s="4"/>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3"/>
      <c r="F846" s="1"/>
      <c r="G846" s="4"/>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3"/>
      <c r="F847" s="1"/>
      <c r="G847" s="4"/>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3"/>
      <c r="F848" s="1"/>
      <c r="G848" s="4"/>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3"/>
      <c r="F849" s="1"/>
      <c r="G849" s="4"/>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3"/>
      <c r="F850" s="1"/>
      <c r="G850" s="4"/>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3"/>
      <c r="F851" s="1"/>
      <c r="G851" s="4"/>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3"/>
      <c r="F852" s="1"/>
      <c r="G852" s="4"/>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3"/>
      <c r="F853" s="1"/>
      <c r="G853" s="4"/>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3"/>
      <c r="F854" s="1"/>
      <c r="G854" s="4"/>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3"/>
      <c r="F855" s="1"/>
      <c r="G855" s="4"/>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3"/>
      <c r="F856" s="1"/>
      <c r="G856" s="4"/>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3"/>
      <c r="F857" s="1"/>
      <c r="G857" s="4"/>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3"/>
      <c r="F858" s="1"/>
      <c r="G858" s="4"/>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3"/>
      <c r="F859" s="1"/>
      <c r="G859" s="4"/>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3"/>
      <c r="F860" s="1"/>
      <c r="G860" s="4"/>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3"/>
      <c r="F861" s="1"/>
      <c r="G861" s="4"/>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3"/>
      <c r="F862" s="1"/>
      <c r="G862" s="4"/>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3"/>
      <c r="F863" s="1"/>
      <c r="G863" s="4"/>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3"/>
      <c r="F864" s="1"/>
      <c r="G864" s="4"/>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3"/>
      <c r="F865" s="1"/>
      <c r="G865" s="4"/>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3"/>
      <c r="F866" s="1"/>
      <c r="G866" s="4"/>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3"/>
      <c r="F867" s="1"/>
      <c r="G867" s="4"/>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3"/>
      <c r="F868" s="1"/>
      <c r="G868" s="4"/>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3"/>
      <c r="F869" s="1"/>
      <c r="G869" s="4"/>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3"/>
      <c r="F870" s="1"/>
      <c r="G870" s="4"/>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3"/>
      <c r="F871" s="1"/>
      <c r="G871" s="4"/>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3"/>
      <c r="F872" s="1"/>
      <c r="G872" s="4"/>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3"/>
      <c r="F873" s="1"/>
      <c r="G873" s="4"/>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3"/>
      <c r="F874" s="1"/>
      <c r="G874" s="4"/>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3"/>
      <c r="F875" s="1"/>
      <c r="G875" s="4"/>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3"/>
      <c r="F876" s="1"/>
      <c r="G876" s="4"/>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3"/>
      <c r="F877" s="1"/>
      <c r="G877" s="4"/>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3"/>
      <c r="F878" s="1"/>
      <c r="G878" s="4"/>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3"/>
      <c r="F879" s="1"/>
      <c r="G879" s="4"/>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3"/>
      <c r="F880" s="1"/>
      <c r="G880" s="4"/>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3"/>
      <c r="F881" s="1"/>
      <c r="G881" s="4"/>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3"/>
      <c r="F882" s="1"/>
      <c r="G882" s="4"/>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3"/>
      <c r="F883" s="1"/>
      <c r="G883" s="4"/>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3"/>
      <c r="F884" s="1"/>
      <c r="G884" s="4"/>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3"/>
      <c r="F885" s="1"/>
      <c r="G885" s="4"/>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3"/>
      <c r="F886" s="1"/>
      <c r="G886" s="4"/>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3"/>
      <c r="F887" s="1"/>
      <c r="G887" s="4"/>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3"/>
      <c r="F888" s="1"/>
      <c r="G888" s="4"/>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3"/>
      <c r="F889" s="1"/>
      <c r="G889" s="4"/>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3"/>
      <c r="F890" s="1"/>
      <c r="G890" s="4"/>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3"/>
      <c r="F891" s="1"/>
      <c r="G891" s="4"/>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3"/>
      <c r="F892" s="1"/>
      <c r="G892" s="4"/>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3"/>
      <c r="F893" s="1"/>
      <c r="G893" s="4"/>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3"/>
      <c r="F894" s="1"/>
      <c r="G894" s="4"/>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3"/>
      <c r="F895" s="1"/>
      <c r="G895" s="4"/>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3"/>
      <c r="F896" s="1"/>
      <c r="G896" s="4"/>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3"/>
      <c r="F897" s="1"/>
      <c r="G897" s="4"/>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3"/>
      <c r="F898" s="1"/>
      <c r="G898" s="4"/>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3"/>
      <c r="F899" s="1"/>
      <c r="G899" s="4"/>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3"/>
      <c r="F900" s="1"/>
      <c r="G900" s="4"/>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3"/>
      <c r="F901" s="1"/>
      <c r="G901" s="4"/>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3"/>
      <c r="F902" s="1"/>
      <c r="G902" s="4"/>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3"/>
      <c r="F903" s="1"/>
      <c r="G903" s="4"/>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3"/>
      <c r="F904" s="1"/>
      <c r="G904" s="4"/>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3"/>
      <c r="F905" s="1"/>
      <c r="G905" s="4"/>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3"/>
      <c r="F906" s="1"/>
      <c r="G906" s="4"/>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3"/>
      <c r="F907" s="1"/>
      <c r="G907" s="4"/>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3"/>
      <c r="F908" s="1"/>
      <c r="G908" s="4"/>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3"/>
      <c r="F909" s="1"/>
      <c r="G909" s="4"/>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3"/>
      <c r="F910" s="1"/>
      <c r="G910" s="4"/>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3"/>
      <c r="F911" s="1"/>
      <c r="G911" s="4"/>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3"/>
      <c r="F912" s="1"/>
      <c r="G912" s="4"/>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3"/>
      <c r="F913" s="1"/>
      <c r="G913" s="4"/>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3"/>
      <c r="F914" s="1"/>
      <c r="G914" s="4"/>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3"/>
      <c r="F915" s="1"/>
      <c r="G915" s="4"/>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3"/>
      <c r="F916" s="1"/>
      <c r="G916" s="4"/>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3"/>
      <c r="F917" s="1"/>
      <c r="G917" s="4"/>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3"/>
      <c r="F918" s="1"/>
      <c r="G918" s="4"/>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3"/>
      <c r="F919" s="1"/>
      <c r="G919" s="4"/>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3"/>
      <c r="F920" s="1"/>
      <c r="G920" s="4"/>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3"/>
      <c r="F921" s="1"/>
      <c r="G921" s="4"/>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3"/>
      <c r="F922" s="1"/>
      <c r="G922" s="4"/>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3"/>
      <c r="F923" s="1"/>
      <c r="G923" s="4"/>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3"/>
      <c r="F924" s="1"/>
      <c r="G924" s="4"/>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3"/>
      <c r="F925" s="1"/>
      <c r="G925" s="4"/>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3"/>
      <c r="F926" s="1"/>
      <c r="G926" s="4"/>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3"/>
      <c r="F927" s="1"/>
      <c r="G927" s="4"/>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3"/>
      <c r="F928" s="1"/>
      <c r="G928" s="4"/>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3"/>
      <c r="F929" s="1"/>
      <c r="G929" s="4"/>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3"/>
      <c r="F930" s="1"/>
      <c r="G930" s="4"/>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3"/>
      <c r="F931" s="1"/>
      <c r="G931" s="4"/>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3"/>
      <c r="F932" s="1"/>
      <c r="G932" s="4"/>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3"/>
      <c r="F933" s="1"/>
      <c r="G933" s="4"/>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3"/>
      <c r="F934" s="1"/>
      <c r="G934" s="4"/>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3"/>
      <c r="F935" s="1"/>
      <c r="G935" s="4"/>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3"/>
      <c r="F936" s="1"/>
      <c r="G936" s="4"/>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3"/>
      <c r="F937" s="1"/>
      <c r="G937" s="4"/>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3"/>
      <c r="F938" s="1"/>
      <c r="G938" s="4"/>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3"/>
      <c r="F939" s="1"/>
      <c r="G939" s="4"/>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3"/>
      <c r="F940" s="1"/>
      <c r="G940" s="4"/>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3"/>
      <c r="F941" s="1"/>
      <c r="G941" s="4"/>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3"/>
      <c r="F942" s="1"/>
      <c r="G942" s="4"/>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3"/>
      <c r="F943" s="1"/>
      <c r="G943" s="4"/>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3"/>
      <c r="F944" s="1"/>
      <c r="G944" s="4"/>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3"/>
      <c r="F945" s="1"/>
      <c r="G945" s="4"/>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3"/>
      <c r="F946" s="1"/>
      <c r="G946" s="4"/>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3"/>
      <c r="F947" s="1"/>
      <c r="G947" s="4"/>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3"/>
      <c r="F948" s="1"/>
      <c r="G948" s="4"/>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3"/>
      <c r="F949" s="1"/>
      <c r="G949" s="4"/>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3"/>
      <c r="F950" s="1"/>
      <c r="G950" s="4"/>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3"/>
      <c r="F951" s="1"/>
      <c r="G951" s="4"/>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3"/>
      <c r="F952" s="1"/>
      <c r="G952" s="4"/>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3"/>
      <c r="F953" s="1"/>
      <c r="G953" s="4"/>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3"/>
      <c r="F954" s="1"/>
      <c r="G954" s="4"/>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3"/>
      <c r="F955" s="1"/>
      <c r="G955" s="4"/>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3"/>
      <c r="F956" s="1"/>
      <c r="G956" s="4"/>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3"/>
      <c r="F957" s="1"/>
      <c r="G957" s="4"/>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3"/>
      <c r="F958" s="1"/>
      <c r="G958" s="4"/>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3"/>
      <c r="F959" s="1"/>
      <c r="G959" s="4"/>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3"/>
      <c r="F960" s="1"/>
      <c r="G960" s="4"/>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3"/>
      <c r="F961" s="1"/>
      <c r="G961" s="4"/>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3"/>
      <c r="F962" s="1"/>
      <c r="G962" s="4"/>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3"/>
      <c r="F963" s="1"/>
      <c r="G963" s="4"/>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3"/>
      <c r="F964" s="1"/>
      <c r="G964" s="4"/>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3"/>
      <c r="F965" s="1"/>
      <c r="G965" s="4"/>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3"/>
      <c r="F966" s="1"/>
      <c r="G966" s="4"/>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3"/>
      <c r="F967" s="1"/>
      <c r="G967" s="4"/>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3"/>
      <c r="F968" s="1"/>
      <c r="G968" s="4"/>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3"/>
      <c r="F969" s="1"/>
      <c r="G969" s="4"/>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3"/>
      <c r="F970" s="1"/>
      <c r="G970" s="4"/>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3"/>
      <c r="F971" s="1"/>
      <c r="G971" s="4"/>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3"/>
      <c r="F972" s="1"/>
      <c r="G972" s="4"/>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3"/>
      <c r="F973" s="1"/>
      <c r="G973" s="4"/>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3"/>
      <c r="F974" s="1"/>
      <c r="G974" s="4"/>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3"/>
      <c r="F975" s="1"/>
      <c r="G975" s="4"/>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3"/>
      <c r="F976" s="1"/>
      <c r="G976" s="4"/>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3"/>
      <c r="F977" s="1"/>
      <c r="G977" s="4"/>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3"/>
      <c r="F978" s="1"/>
      <c r="G978" s="4"/>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3"/>
      <c r="F979" s="1"/>
      <c r="G979" s="4"/>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3"/>
      <c r="F980" s="1"/>
      <c r="G980" s="4"/>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3"/>
      <c r="F981" s="1"/>
      <c r="G981" s="4"/>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3"/>
      <c r="F982" s="1"/>
      <c r="G982" s="4"/>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3"/>
      <c r="F983" s="1"/>
      <c r="G983" s="4"/>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3"/>
      <c r="F984" s="1"/>
      <c r="G984" s="4"/>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3"/>
      <c r="F985" s="1"/>
      <c r="G985" s="4"/>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3"/>
      <c r="F986" s="1"/>
      <c r="G986" s="4"/>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3"/>
      <c r="F987" s="1"/>
      <c r="G987" s="4"/>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3"/>
      <c r="F988" s="1"/>
      <c r="G988" s="4"/>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3"/>
      <c r="F989" s="1"/>
      <c r="G989" s="4"/>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3"/>
      <c r="F990" s="1"/>
      <c r="G990" s="4"/>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3"/>
      <c r="F991" s="1"/>
      <c r="G991" s="4"/>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3"/>
      <c r="F992" s="1"/>
      <c r="G992" s="4"/>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3"/>
      <c r="F993" s="1"/>
      <c r="G993" s="4"/>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3"/>
      <c r="F994" s="1"/>
      <c r="G994" s="4"/>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3"/>
      <c r="F995" s="1"/>
      <c r="G995" s="4"/>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3"/>
      <c r="F996" s="1"/>
      <c r="G996" s="4"/>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3"/>
      <c r="F997" s="1"/>
      <c r="G997" s="4"/>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3"/>
      <c r="F998" s="1"/>
      <c r="G998" s="4"/>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3"/>
      <c r="F999" s="1"/>
      <c r="G999" s="4"/>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3"/>
      <c r="F1000" s="1"/>
      <c r="G1000" s="4"/>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row r="1001" ht="15.75" customHeight="1">
      <c r="A1001" s="1"/>
      <c r="B1001" s="1"/>
      <c r="C1001" s="1"/>
      <c r="D1001" s="1"/>
      <c r="E1001" s="3"/>
      <c r="F1001" s="1"/>
      <c r="G1001" s="4"/>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row>
    <row r="1002" ht="15.75" customHeight="1">
      <c r="A1002" s="1"/>
      <c r="B1002" s="1"/>
      <c r="C1002" s="1"/>
      <c r="D1002" s="1"/>
      <c r="E1002" s="3"/>
      <c r="F1002" s="1"/>
      <c r="G1002" s="4"/>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row>
    <row r="1003" ht="15.75" customHeight="1">
      <c r="A1003" s="1"/>
      <c r="B1003" s="1"/>
      <c r="C1003" s="1"/>
      <c r="D1003" s="1"/>
      <c r="E1003" s="3"/>
      <c r="F1003" s="1"/>
      <c r="G1003" s="4"/>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row>
    <row r="1004" ht="15.75" customHeight="1">
      <c r="A1004" s="1"/>
      <c r="B1004" s="1"/>
      <c r="C1004" s="1"/>
      <c r="D1004" s="1"/>
      <c r="E1004" s="3"/>
      <c r="F1004" s="1"/>
      <c r="G1004" s="4"/>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row>
    <row r="1005" ht="15.75" customHeight="1">
      <c r="A1005" s="1"/>
      <c r="B1005" s="1"/>
      <c r="C1005" s="1"/>
      <c r="D1005" s="1"/>
      <c r="E1005" s="3"/>
      <c r="F1005" s="1"/>
      <c r="G1005" s="4"/>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row>
    <row r="1006" ht="15.75" customHeight="1">
      <c r="A1006" s="1"/>
      <c r="B1006" s="1"/>
      <c r="C1006" s="1"/>
      <c r="D1006" s="1"/>
      <c r="E1006" s="3"/>
      <c r="F1006" s="1"/>
      <c r="G1006" s="4"/>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row>
    <row r="1007" ht="15.75" customHeight="1">
      <c r="A1007" s="1"/>
      <c r="B1007" s="1"/>
      <c r="C1007" s="1"/>
      <c r="D1007" s="1"/>
      <c r="E1007" s="3"/>
      <c r="F1007" s="1"/>
      <c r="G1007" s="4"/>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row>
    <row r="1008" ht="15.75" customHeight="1">
      <c r="A1008" s="1"/>
      <c r="B1008" s="1"/>
      <c r="C1008" s="1"/>
      <c r="D1008" s="1"/>
      <c r="E1008" s="3"/>
      <c r="F1008" s="1"/>
      <c r="G1008" s="4"/>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row>
    <row r="1009" ht="15.75" customHeight="1">
      <c r="A1009" s="1"/>
      <c r="B1009" s="1"/>
      <c r="C1009" s="1"/>
      <c r="D1009" s="1"/>
      <c r="E1009" s="3"/>
      <c r="F1009" s="1"/>
      <c r="G1009" s="4"/>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row>
    <row r="1010" ht="15.75" customHeight="1">
      <c r="A1010" s="1"/>
      <c r="B1010" s="1"/>
      <c r="C1010" s="1"/>
      <c r="D1010" s="1"/>
      <c r="E1010" s="3"/>
      <c r="F1010" s="1"/>
      <c r="G1010" s="4"/>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row>
    <row r="1011" ht="15.75" customHeight="1">
      <c r="A1011" s="1"/>
      <c r="B1011" s="1"/>
      <c r="C1011" s="1"/>
      <c r="D1011" s="1"/>
      <c r="E1011" s="3"/>
      <c r="F1011" s="1"/>
      <c r="G1011" s="4"/>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row>
    <row r="1012" ht="15.75" customHeight="1">
      <c r="A1012" s="1"/>
      <c r="B1012" s="1"/>
      <c r="C1012" s="1"/>
      <c r="D1012" s="1"/>
      <c r="E1012" s="3"/>
      <c r="F1012" s="1"/>
      <c r="G1012" s="4"/>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row>
    <row r="1013" ht="15.75" customHeight="1">
      <c r="A1013" s="1"/>
      <c r="B1013" s="1"/>
      <c r="C1013" s="1"/>
      <c r="D1013" s="1"/>
      <c r="E1013" s="3"/>
      <c r="F1013" s="1"/>
      <c r="G1013" s="4"/>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row>
    <row r="1014" ht="15.75" customHeight="1">
      <c r="A1014" s="1"/>
      <c r="B1014" s="1"/>
      <c r="C1014" s="1"/>
      <c r="D1014" s="1"/>
      <c r="E1014" s="3"/>
      <c r="F1014" s="1"/>
      <c r="G1014" s="4"/>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row>
    <row r="1015" ht="15.75" customHeight="1">
      <c r="A1015" s="1"/>
      <c r="B1015" s="1"/>
      <c r="C1015" s="1"/>
      <c r="D1015" s="1"/>
      <c r="E1015" s="3"/>
      <c r="F1015" s="1"/>
      <c r="G1015" s="4"/>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row>
    <row r="1016" ht="15.75" customHeight="1">
      <c r="A1016" s="1"/>
      <c r="B1016" s="1"/>
      <c r="C1016" s="1"/>
      <c r="D1016" s="1"/>
      <c r="E1016" s="3"/>
      <c r="F1016" s="1"/>
      <c r="G1016" s="4"/>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row>
    <row r="1017" ht="15.75" customHeight="1">
      <c r="A1017" s="1"/>
      <c r="B1017" s="1"/>
      <c r="C1017" s="1"/>
      <c r="D1017" s="1"/>
      <c r="E1017" s="3"/>
      <c r="F1017" s="1"/>
      <c r="G1017" s="4"/>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row>
    <row r="1018" ht="15.75" customHeight="1">
      <c r="A1018" s="1"/>
      <c r="B1018" s="1"/>
      <c r="C1018" s="1"/>
      <c r="D1018" s="1"/>
      <c r="E1018" s="3"/>
      <c r="F1018" s="1"/>
      <c r="G1018" s="4"/>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row>
    <row r="1019" ht="15.75" customHeight="1">
      <c r="A1019" s="1"/>
      <c r="B1019" s="1"/>
      <c r="C1019" s="1"/>
      <c r="D1019" s="1"/>
      <c r="E1019" s="3"/>
      <c r="F1019" s="1"/>
      <c r="G1019" s="4"/>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row>
    <row r="1020" ht="15.75" customHeight="1">
      <c r="A1020" s="1"/>
      <c r="B1020" s="1"/>
      <c r="C1020" s="1"/>
      <c r="D1020" s="1"/>
      <c r="E1020" s="3"/>
      <c r="F1020" s="1"/>
      <c r="G1020" s="4"/>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row>
    <row r="1021" ht="15.75" customHeight="1">
      <c r="A1021" s="1"/>
      <c r="B1021" s="1"/>
      <c r="C1021" s="1"/>
      <c r="D1021" s="1"/>
      <c r="E1021" s="3"/>
      <c r="F1021" s="1"/>
      <c r="G1021" s="4"/>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row>
    <row r="1022" ht="15.75" customHeight="1">
      <c r="A1022" s="1"/>
      <c r="B1022" s="1"/>
      <c r="C1022" s="1"/>
      <c r="D1022" s="1"/>
      <c r="E1022" s="3"/>
      <c r="F1022" s="1"/>
      <c r="G1022" s="4"/>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52" man="1"/>
    <brk id="36" man="1"/>
    <brk id="69"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113</v>
      </c>
      <c r="C1" s="1"/>
      <c r="D1" s="1"/>
      <c r="E1" s="1"/>
      <c r="F1" s="1"/>
      <c r="G1" s="1"/>
      <c r="H1" s="1"/>
      <c r="I1" s="1"/>
      <c r="J1" s="1"/>
      <c r="K1" s="1"/>
      <c r="L1" s="1"/>
      <c r="M1" s="1"/>
      <c r="N1" s="1"/>
      <c r="O1" s="1"/>
      <c r="P1" s="1"/>
      <c r="Q1" s="1"/>
      <c r="R1" s="1"/>
      <c r="S1" s="1"/>
      <c r="T1" s="1"/>
      <c r="U1" s="1"/>
      <c r="V1" s="1"/>
      <c r="W1" s="1"/>
      <c r="X1" s="1"/>
      <c r="Y1" s="1"/>
      <c r="Z1" s="1"/>
    </row>
    <row r="2">
      <c r="A2" s="1"/>
      <c r="B2" s="44" t="s">
        <v>114</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5" t="s">
        <v>115</v>
      </c>
      <c r="C4" s="45" t="s">
        <v>116</v>
      </c>
      <c r="D4" s="1"/>
      <c r="E4" s="1"/>
      <c r="F4" s="1"/>
      <c r="G4" s="1"/>
      <c r="H4" s="1"/>
      <c r="I4" s="1"/>
      <c r="J4" s="1"/>
      <c r="K4" s="1"/>
      <c r="L4" s="1"/>
      <c r="M4" s="1"/>
      <c r="N4" s="1"/>
      <c r="O4" s="1"/>
      <c r="P4" s="1"/>
      <c r="Q4" s="1"/>
      <c r="R4" s="1"/>
      <c r="S4" s="1"/>
      <c r="T4" s="1"/>
      <c r="U4" s="1"/>
      <c r="V4" s="1"/>
      <c r="W4" s="1"/>
      <c r="X4" s="1"/>
      <c r="Y4" s="1"/>
      <c r="Z4" s="1"/>
    </row>
    <row r="5">
      <c r="A5" s="1"/>
      <c r="B5" s="19" t="str">
        <f>'Sprint Backlog'!B5</f>
        <v>Identificador (ID) de item de product backlog</v>
      </c>
      <c r="C5" s="19" t="s">
        <v>117</v>
      </c>
      <c r="D5" s="1"/>
      <c r="E5" s="1"/>
      <c r="F5" s="1"/>
      <c r="G5" s="1"/>
      <c r="H5" s="1"/>
      <c r="I5" s="1"/>
      <c r="J5" s="1"/>
      <c r="K5" s="1"/>
      <c r="L5" s="1"/>
      <c r="M5" s="1"/>
      <c r="N5" s="1"/>
      <c r="O5" s="1"/>
      <c r="P5" s="1"/>
      <c r="Q5" s="1"/>
      <c r="R5" s="1"/>
      <c r="S5" s="1"/>
      <c r="T5" s="1"/>
      <c r="U5" s="1"/>
      <c r="V5" s="1"/>
      <c r="W5" s="1"/>
      <c r="X5" s="1"/>
      <c r="Y5" s="1"/>
      <c r="Z5" s="1"/>
    </row>
    <row r="6">
      <c r="A6" s="1"/>
      <c r="B6" s="19" t="str">
        <f>'Sprint Backlog'!C5</f>
        <v>Enunciado del item de Product Backlog</v>
      </c>
      <c r="C6" s="19" t="s">
        <v>118</v>
      </c>
      <c r="D6" s="1"/>
      <c r="E6" s="1"/>
      <c r="F6" s="1"/>
      <c r="G6" s="1"/>
      <c r="H6" s="1"/>
      <c r="I6" s="1"/>
      <c r="J6" s="1"/>
      <c r="K6" s="1"/>
      <c r="L6" s="1"/>
      <c r="M6" s="1"/>
      <c r="N6" s="1"/>
      <c r="O6" s="1"/>
      <c r="P6" s="1"/>
      <c r="Q6" s="1"/>
      <c r="R6" s="1"/>
      <c r="S6" s="1"/>
      <c r="T6" s="1"/>
      <c r="U6" s="1"/>
      <c r="V6" s="1"/>
      <c r="W6" s="1"/>
      <c r="X6" s="1"/>
      <c r="Y6" s="1"/>
      <c r="Z6" s="1"/>
    </row>
    <row r="7">
      <c r="A7" s="1"/>
      <c r="B7" s="19" t="s">
        <v>26</v>
      </c>
      <c r="C7" s="19" t="s">
        <v>119</v>
      </c>
      <c r="D7" s="1"/>
      <c r="E7" s="1"/>
      <c r="F7" s="1"/>
      <c r="G7" s="1"/>
      <c r="H7" s="1"/>
      <c r="I7" s="1"/>
      <c r="J7" s="1"/>
      <c r="K7" s="1"/>
      <c r="L7" s="1"/>
      <c r="M7" s="1"/>
      <c r="N7" s="1"/>
      <c r="O7" s="1"/>
      <c r="P7" s="1"/>
      <c r="Q7" s="1"/>
      <c r="R7" s="1"/>
      <c r="S7" s="1"/>
      <c r="T7" s="1"/>
      <c r="U7" s="1"/>
      <c r="V7" s="1"/>
      <c r="W7" s="1"/>
      <c r="X7" s="1"/>
      <c r="Y7" s="1"/>
      <c r="Z7" s="1"/>
    </row>
    <row r="8">
      <c r="A8" s="1"/>
      <c r="B8" s="19" t="s">
        <v>27</v>
      </c>
      <c r="C8" s="19" t="s">
        <v>120</v>
      </c>
      <c r="D8" s="1"/>
      <c r="E8" s="1"/>
      <c r="F8" s="1"/>
      <c r="G8" s="1"/>
      <c r="H8" s="1"/>
      <c r="I8" s="1"/>
      <c r="J8" s="1"/>
      <c r="K8" s="1"/>
      <c r="L8" s="1"/>
      <c r="M8" s="1"/>
      <c r="N8" s="1"/>
      <c r="O8" s="1"/>
      <c r="P8" s="1"/>
      <c r="Q8" s="1"/>
      <c r="R8" s="1"/>
      <c r="S8" s="1"/>
      <c r="T8" s="1"/>
      <c r="U8" s="1"/>
      <c r="V8" s="1"/>
      <c r="W8" s="1"/>
      <c r="X8" s="1"/>
      <c r="Y8" s="1"/>
      <c r="Z8" s="1"/>
    </row>
    <row r="9">
      <c r="A9" s="1"/>
      <c r="B9" s="19" t="s">
        <v>28</v>
      </c>
      <c r="C9" s="19" t="s">
        <v>121</v>
      </c>
      <c r="D9" s="1"/>
      <c r="E9" s="1"/>
      <c r="F9" s="1"/>
      <c r="G9" s="1"/>
      <c r="H9" s="1"/>
      <c r="I9" s="1"/>
      <c r="J9" s="1"/>
      <c r="K9" s="1"/>
      <c r="L9" s="1"/>
      <c r="M9" s="1"/>
      <c r="N9" s="1"/>
      <c r="O9" s="1"/>
      <c r="P9" s="1"/>
      <c r="Q9" s="1"/>
      <c r="R9" s="1"/>
      <c r="S9" s="1"/>
      <c r="T9" s="1"/>
      <c r="U9" s="1"/>
      <c r="V9" s="1"/>
      <c r="W9" s="1"/>
      <c r="X9" s="1"/>
      <c r="Y9" s="1"/>
      <c r="Z9" s="1"/>
    </row>
    <row r="10">
      <c r="A10" s="1"/>
      <c r="B10" s="19" t="s">
        <v>29</v>
      </c>
      <c r="C10" s="19" t="s">
        <v>122</v>
      </c>
      <c r="D10" s="1"/>
      <c r="E10" s="1"/>
      <c r="F10" s="1"/>
      <c r="G10" s="1"/>
      <c r="H10" s="1"/>
      <c r="I10" s="1"/>
      <c r="J10" s="1"/>
      <c r="K10" s="1"/>
      <c r="L10" s="1"/>
      <c r="M10" s="1"/>
      <c r="N10" s="1"/>
      <c r="O10" s="1"/>
      <c r="P10" s="1"/>
      <c r="Q10" s="1"/>
      <c r="R10" s="1"/>
      <c r="S10" s="1"/>
      <c r="T10" s="1"/>
      <c r="U10" s="1"/>
      <c r="V10" s="1"/>
      <c r="W10" s="1"/>
      <c r="X10" s="1"/>
      <c r="Y10" s="1"/>
      <c r="Z10" s="1"/>
    </row>
    <row r="11">
      <c r="A11" s="1"/>
      <c r="B11" s="19" t="s">
        <v>123</v>
      </c>
      <c r="C11" s="19" t="s">
        <v>124</v>
      </c>
      <c r="D11" s="1"/>
      <c r="E11" s="1"/>
      <c r="F11" s="1"/>
      <c r="G11" s="1"/>
      <c r="H11" s="1"/>
      <c r="I11" s="1"/>
      <c r="J11" s="1"/>
      <c r="K11" s="1"/>
      <c r="L11" s="1"/>
      <c r="M11" s="1"/>
      <c r="N11" s="1"/>
      <c r="O11" s="1"/>
      <c r="P11" s="1"/>
      <c r="Q11" s="1"/>
      <c r="R11" s="1"/>
      <c r="S11" s="1"/>
      <c r="T11" s="1"/>
      <c r="U11" s="1"/>
      <c r="V11" s="1"/>
      <c r="W11" s="1"/>
      <c r="X11" s="1"/>
      <c r="Y11" s="1"/>
      <c r="Z11" s="1"/>
    </row>
    <row r="12">
      <c r="A12" s="1"/>
      <c r="B12" s="19" t="s">
        <v>30</v>
      </c>
      <c r="C12" s="19" t="s">
        <v>125</v>
      </c>
      <c r="D12" s="1"/>
      <c r="E12" s="1"/>
      <c r="F12" s="1"/>
      <c r="G12" s="1"/>
      <c r="H12" s="1"/>
      <c r="I12" s="1"/>
      <c r="J12" s="1"/>
      <c r="K12" s="1"/>
      <c r="L12" s="1"/>
      <c r="M12" s="1"/>
      <c r="N12" s="1"/>
      <c r="O12" s="1"/>
      <c r="P12" s="1"/>
      <c r="Q12" s="1"/>
      <c r="R12" s="1"/>
      <c r="S12" s="1"/>
      <c r="T12" s="1"/>
      <c r="U12" s="1"/>
      <c r="V12" s="1"/>
      <c r="W12" s="1"/>
      <c r="X12" s="1"/>
      <c r="Y12" s="1"/>
      <c r="Z12" s="1"/>
    </row>
    <row r="13">
      <c r="A13" s="1"/>
      <c r="B13" s="19" t="s">
        <v>31</v>
      </c>
      <c r="C13" s="19" t="s">
        <v>126</v>
      </c>
      <c r="D13" s="1"/>
      <c r="E13" s="1"/>
      <c r="F13" s="1"/>
      <c r="G13" s="1"/>
      <c r="H13" s="1"/>
      <c r="I13" s="1"/>
      <c r="J13" s="1"/>
      <c r="K13" s="1"/>
      <c r="L13" s="1"/>
      <c r="M13" s="1"/>
      <c r="N13" s="1"/>
      <c r="O13" s="1"/>
      <c r="P13" s="1"/>
      <c r="Q13" s="1"/>
      <c r="R13" s="1"/>
      <c r="S13" s="1"/>
      <c r="T13" s="1"/>
      <c r="U13" s="1"/>
      <c r="V13" s="1"/>
      <c r="W13" s="1"/>
      <c r="X13" s="1"/>
      <c r="Y13" s="1"/>
      <c r="Z13" s="1"/>
    </row>
    <row r="14">
      <c r="A14" s="1"/>
      <c r="B14" s="19" t="s">
        <v>23</v>
      </c>
      <c r="C14" s="19" t="s">
        <v>127</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